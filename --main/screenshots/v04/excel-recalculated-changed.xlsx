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Исходные данные" sheetId="2" state="visible" r:id="rId4"/>
    <sheet name="Статьи расходов" sheetId="3" state="visible" r:id="rId5"/>
    <sheet name="Сводная смета" sheetId="4" state="visible" r:id="rId6"/>
    <sheet name="Помещения" sheetId="5" state="visible" r:id="rId7"/>
    <sheet name="Основания и ограничения" sheetId="6" state="visible" r:id="rId8"/>
  </sheets>
  <definedNames>
    <definedName function="false" hidden="false" localSheetId="0" name="_xlnm.Print_Titles" vbProcedure="false">Инструкция!$1:$1</definedName>
    <definedName function="false" hidden="false" localSheetId="1" name="_xlnm.Print_Titles" vbProcedure="false">'Исходные данные'!$1:$1</definedName>
    <definedName function="false" hidden="false" localSheetId="5" name="_xlnm.Print_Titles" vbProcedure="false">'Основания и ограничения'!$1:$1</definedName>
    <definedName function="false" hidden="false" localSheetId="4" name="_xlnm.Print_Titles" vbProcedure="false">Помещения!$1:$1</definedName>
    <definedName function="false" hidden="false" localSheetId="3" name="_xlnm.Print_Titles" vbProcedure="false">'Сводная смета'!$1:$1</definedName>
    <definedName function="false" hidden="false" localSheetId="2" name="_xlnm.Print_Titles" vbProcedure="false">'Статьи расходов'!$1:$1</definedName>
    <definedName function="false" hidden="false" localSheetId="2" name="_xlnm.Print_Area" vbProcedure="false">'Статьи расходов'!$A1:$I3</definedName>
    <definedName function="false" hidden="false" localSheetId="4" name="_xlnm.Print_Area" vbProcedure="false">Помещения!$A1:$E2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<sst xmlns="http://schemas.openxmlformats.org/spreadsheetml/2006/main" count="74" uniqueCount="69">
  <si>
    <t xml:space="preserve">Расчетная копия сметы ҮйКөмек</t>
  </si>
  <si>
    <t xml:space="preserve">Рекомендуемый шаблон. Скачивание не означает утверждение сметы.</t>
  </si>
  <si>
    <t xml:space="preserve">Желтые ячейки — ввод; голубые — формулы. Защита листов не установлена.</t>
  </si>
  <si>
    <t xml:space="preserve">Меняйте количества, цены, периоды и исходные площади. Формулы связаны между листами.</t>
  </si>
  <si>
    <t xml:space="preserve">На листе «Статьи расходов» подготовлены пустые строки с формулами. Заполните все поля A–F и H. Не стирайте G и I.</t>
  </si>
  <si>
    <t xml:space="preserve">Для дополнительных строк скопируйте целую последнюю строку с формулами ниже и замените ввод. Формулы итогов используют все строки колонок. Не вставляйте строку над заголовком.</t>
  </si>
  <si>
    <t xml:space="preserve">Раздел в A выбирайте из списка. Периоды: ежемесячно 12, ежеквартально 4, раз в год 1, свое целое количество 1–366.</t>
  </si>
  <si>
    <t xml:space="preserve">Количество — положительное, до 4 знаков; цена — неотрицательная, до 2 знаков. Годовая сумма округляется половиной вверх до тиына.</t>
  </si>
  <si>
    <t xml:space="preserve">Взнос помещения вычисляется прямо из годовых расходов, дохода и площади, без округленной ставки. Ставка на экране — только представление (6 знаков).</t>
  </si>
  <si>
    <t xml:space="preserve">При ошибках расчетные ячейки пусты; смотрите столбец «Проверка» и исходные данные. При неполном реестре без площади отдельного помещения его взнос не выводится.</t>
  </si>
  <si>
    <t xml:space="preserve">Коммерческий доход не должен превышать текущие расходы. Накопления и целевые сборы не прибавляются к текущему взносу.</t>
  </si>
  <si>
    <t xml:space="preserve">Это самостоятельный файл: изменения не синхронизируются обратно в приложение. Пересчет выполняет Excel/LibreOffice при открытии, не библиотека ExcelJS.</t>
  </si>
  <si>
    <t xml:space="preserve">Сохраненные результаты рассчитаны кодом приложения. Табличные приложения используют числовую точность около 15 значащих цифр; сверхбольшие значения не поддерживаются.</t>
  </si>
  <si>
    <t xml:space="preserve">Полнота исходных данных, местный минимум, законность расходов и утверждение собственниками не подтверждаются автоматически.</t>
  </si>
  <si>
    <t xml:space="preserve">Показатель</t>
  </si>
  <si>
    <t xml:space="preserve">Значение</t>
  </si>
  <si>
    <t xml:space="preserve">ОСИ</t>
  </si>
  <si>
    <t xml:space="preserve">ОСИ «Ертіс үйі»</t>
  </si>
  <si>
    <t xml:space="preserve">Адрес</t>
  </si>
  <si>
    <t xml:space="preserve">Павлодар, ул. Ынтымақ, 24</t>
  </si>
  <si>
    <t xml:space="preserve">Год</t>
  </si>
  <si>
    <t xml:space="preserve">Полная полезная площадь, м² (не площадь здания)</t>
  </si>
  <si>
    <t xml:space="preserve">Годовой коммерческий доход, ₸</t>
  </si>
  <si>
    <t xml:space="preserve">Основание дохода</t>
  </si>
  <si>
    <t xml:space="preserve">Полный реестр: 1 — да, 0 — нет</t>
  </si>
  <si>
    <t xml:space="preserve">Сумма известных площадей, м²</t>
  </si>
  <si>
    <t xml:space="preserve">Проверка исходных данных</t>
  </si>
  <si>
    <t xml:space="preserve">Реестр</t>
  </si>
  <si>
    <t xml:space="preserve">Полный</t>
  </si>
  <si>
    <t xml:space="preserve">Раздел</t>
  </si>
  <si>
    <t xml:space="preserve">Название</t>
  </si>
  <si>
    <t xml:space="preserve">Количество</t>
  </si>
  <si>
    <t xml:space="preserve">Единица</t>
  </si>
  <si>
    <t xml:space="preserve">Стоимость, ₸</t>
  </si>
  <si>
    <t xml:space="preserve">Выполнений в год</t>
  </si>
  <si>
    <t xml:space="preserve">Годовая сумма, ₸</t>
  </si>
  <si>
    <t xml:space="preserve">Обоснование</t>
  </si>
  <si>
    <t xml:space="preserve">Проверка</t>
  </si>
  <si>
    <t xml:space="preserve">Управление (без содержания)</t>
  </si>
  <si>
    <t xml:space="preserve">Демо-управление</t>
  </si>
  <si>
    <t xml:space="preserve">услуга</t>
  </si>
  <si>
    <t xml:space="preserve">Демо</t>
  </si>
  <si>
    <t xml:space="preserve">Содержание общего имущества</t>
  </si>
  <si>
    <t xml:space="preserve">Демо-уборка</t>
  </si>
  <si>
    <t xml:space="preserve">Раздел / показатель</t>
  </si>
  <si>
    <t xml:space="preserve">Сумма / значение</t>
  </si>
  <si>
    <t xml:space="preserve">Накопления (отдельный план)</t>
  </si>
  <si>
    <t xml:space="preserve">Целевые сборы (отдельный план)</t>
  </si>
  <si>
    <t xml:space="preserve">Р — управление + содержание, ₸/год</t>
  </si>
  <si>
    <t xml:space="preserve">Д — коммерческий доход, ₸/год</t>
  </si>
  <si>
    <t xml:space="preserve">S — полная полезная площадь, м²</t>
  </si>
  <si>
    <t xml:space="preserve">Проверка расчетной базы</t>
  </si>
  <si>
    <t xml:space="preserve">Текущий взнос, ₸/м² в месяц (6 знаков)</t>
  </si>
  <si>
    <t xml:space="preserve">Накопления и целевые сборы</t>
  </si>
  <si>
    <t xml:space="preserve">B4 и B5 — отдельные планы, не включены в Р и текущий взнос.</t>
  </si>
  <si>
    <t xml:space="preserve">Тип</t>
  </si>
  <si>
    <t xml:space="preserve">Номер</t>
  </si>
  <si>
    <t xml:space="preserve">Полезная площадь, м²</t>
  </si>
  <si>
    <t xml:space="preserve">Текущий взнос в месяц, ₸</t>
  </si>
  <si>
    <t xml:space="preserve">Квартира</t>
  </si>
  <si>
    <t xml:space="preserve">1</t>
  </si>
  <si>
    <t xml:space="preserve">Сопроводительный лист — служебная информация</t>
  </si>
  <si>
    <t xml:space="preserve">Сформирован проект. Проверьте сведения и выполните предусмотренную процедуру подписания или утверждения.</t>
  </si>
  <si>
    <t xml:space="preserve">Шаблон: Годовая смета; версия 166-381-2025.10.18-v1. Проверен 2026-10-16.
Основание: Приказ и.о. Министра индустрии и инфраструктурного развития РК от 30.03.2020 №166; Приложение 1 к приказу: методика, пункты 5, 6, 10–12, 20–22. Утвержденной таблицы сметы в проверенном акте нет.
https://adilet.zan.kz/rus/docs/V2000020284</t>
  </si>
  <si>
    <t xml:space="preserve">Все сведения демонстрационные. Подписи, право собственности и решения не удостоверены приложением.</t>
  </si>
  <si>
    <t xml:space="preserve">Составитель: Айдана Садыкова. Это не подпись. Реестр: полный по сведениям пользователя</t>
  </si>
  <si>
    <t xml:space="preserve">Инвентарный перечень: Демо-перечень
Акт осмотра: Демо-осмотр
Дефектный акт: ________________</t>
  </si>
  <si>
    <t xml:space="preserve">Местный минимум: не проверен. Введено пользователем: нет значения; территория Павлодар; источник не указан; период не указан — не указан. Соответствие местным требованиям не подтверждено.</t>
  </si>
  <si>
    <t xml:space="preserve">Нормативная логика не изменена. При неполном реестре расчет использует полную полезную площадь, введенную отдельно. Сведения с государственным реестром не сверены.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</si>
</sst>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E4F2FC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4F2F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5"/>
  </cols>
  <sheetData>
    <row r="1" s="2" customFormat="tru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3</v>
      </c>
    </row>
    <row r="5" customFormat="false" ht="26.85" hidden="false" customHeight="false" outlineLevel="0" collapsed="false">
      <c r="A5" s="3" t="s">
        <v>4</v>
      </c>
    </row>
    <row r="6" customFormat="false" ht="26.85" hidden="false" customHeight="false" outlineLevel="0" collapsed="false">
      <c r="A6" s="3" t="s">
        <v>5</v>
      </c>
    </row>
    <row r="7" customFormat="false" ht="26.85" hidden="false" customHeight="false" outlineLevel="0" collapsed="false">
      <c r="A7" s="3" t="s">
        <v>6</v>
      </c>
    </row>
    <row r="8" customFormat="false" ht="26.85" hidden="false" customHeight="false" outlineLevel="0" collapsed="false">
      <c r="A8" s="3" t="s">
        <v>7</v>
      </c>
    </row>
    <row r="9" customFormat="false" ht="26.85" hidden="false" customHeight="false" outlineLevel="0" collapsed="false">
      <c r="A9" s="3" t="s">
        <v>8</v>
      </c>
    </row>
    <row r="10" customFormat="false" ht="26.85" hidden="false" customHeight="false" outlineLevel="0" collapsed="false">
      <c r="A10" s="3" t="s">
        <v>9</v>
      </c>
    </row>
    <row r="11" customFormat="false" ht="26.85" hidden="false" customHeight="false" outlineLevel="0" collapsed="false">
      <c r="A11" s="3" t="s">
        <v>10</v>
      </c>
    </row>
    <row r="12" customFormat="false" ht="26.85" hidden="false" customHeight="false" outlineLevel="0" collapsed="false">
      <c r="A12" s="3" t="s">
        <v>11</v>
      </c>
    </row>
    <row r="13" customFormat="false" ht="26.85" hidden="false" customHeight="false" outlineLevel="0" collapsed="false">
      <c r="A13" s="3" t="s">
        <v>12</v>
      </c>
    </row>
    <row r="14" customFormat="false" ht="26.85" hidden="false" customHeight="false" outlineLevel="0" collapsed="false">
      <c r="A14" s="3" t="s">
        <v>13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0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65"/>
  </cols>
  <sheetData>
    <row r="1" s="2" customFormat="true" ht="15" hidden="false" customHeight="false" outlineLevel="0" collapsed="false">
      <c r="A1" s="1" t="s">
        <v>14</v>
      </c>
      <c r="B1" s="1" t="s">
        <v>15</v>
      </c>
    </row>
    <row r="2" customFormat="false" ht="15" hidden="false" customHeight="false" outlineLevel="0" collapsed="false">
      <c r="A2" s="3" t="s">
        <v>16</v>
      </c>
      <c r="B2" s="4" t="s">
        <v>17</v>
      </c>
    </row>
    <row r="3" customFormat="false" ht="15" hidden="false" customHeight="false" outlineLevel="0" collapsed="false">
      <c r="A3" s="3" t="s">
        <v>18</v>
      </c>
      <c r="B3" s="4" t="s">
        <v>19</v>
      </c>
    </row>
    <row r="4" customFormat="false" ht="15" hidden="false" customHeight="false" outlineLevel="0" collapsed="false">
      <c r="A4" s="3" t="s">
        <v>20</v>
      </c>
      <c r="B4" s="4" t="n">
        <v>2026</v>
      </c>
    </row>
    <row r="5" customFormat="false" ht="15" hidden="false" customHeight="false" outlineLevel="0" collapsed="false">
      <c r="A5" s="3" t="s">
        <v>21</v>
      </c>
      <c r="B5" s="4" t="n">
        <v>100</v>
      </c>
    </row>
    <row r="6" customFormat="false" ht="15" hidden="false" customHeight="false" outlineLevel="0" collapsed="false">
      <c r="A6" s="3" t="s">
        <v>22</v>
      </c>
      <c r="B6" s="4" t="n">
        <v>0</v>
      </c>
    </row>
    <row r="7" customFormat="false" ht="15" hidden="false" customHeight="false" outlineLevel="0" collapsed="false">
      <c r="A7" s="3" t="s">
        <v>23</v>
      </c>
      <c r="B7" s="4"/>
    </row>
    <row r="8" customFormat="false" ht="15" hidden="false" customHeight="false" outlineLevel="0" collapsed="false">
      <c r="A8" s="3" t="s">
        <v>24</v>
      </c>
      <c r="B8" s="4" t="n">
        <v>1</v>
      </c>
    </row>
    <row r="9" customFormat="false" ht="15" hidden="false" customHeight="false" outlineLevel="0" collapsed="false">
      <c r="A9" s="3" t="s">
        <v>25</v>
      </c>
      <c r="B9" s="5" t="n">
        <f aca="false">IFERROR(SUM(Помещения!C:C),"")</f>
        <v>100</v>
      </c>
    </row>
    <row r="10" customFormat="false" ht="15" hidden="false" customHeight="false" outlineLevel="0" collapsed="false">
      <c r="A10" s="3" t="s">
        <v>26</v>
      </c>
      <c r="B10" s="5" t="str">
        <f aca="false">IFERROR(IF(AND(ISNUMBER(B5),B5&gt;0,ROUND(B5,2)=B5,ISNUMBER(B6),B6&gt;=0,ROUND(B6,2)=B6,OR(B8=0,B8=1),COUNTIF(Помещения!E:E,"Ошибка")=0,IF(B8=1,ABS(B9-B5)&lt;0.000001,B9&lt;=B5)),"Готово","Ошибка"),"Ошибка")</f>
        <v>Готово</v>
      </c>
    </row>
    <row r="11" customFormat="false" ht="15" hidden="false" customHeight="false" outlineLevel="0" collapsed="false">
      <c r="A11" s="3" t="s">
        <v>27</v>
      </c>
      <c r="B11" s="3" t="s">
        <v>28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0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4" min="3" style="0" width="16"/>
    <col collapsed="false" customWidth="true" hidden="false" outlineLevel="0" max="6" min="5" style="0" width="20"/>
    <col collapsed="false" customWidth="true" hidden="false" outlineLevel="0" max="7" min="7" style="6" width="24"/>
    <col collapsed="false" customWidth="true" hidden="false" outlineLevel="0" max="8" min="8" style="0" width="48"/>
    <col collapsed="false" customWidth="true" hidden="false" outlineLevel="0" max="9" min="9" style="0" width="18"/>
  </cols>
  <sheetData>
    <row r="1" s="2" customFormat="true" ht="26.85" hidden="false" customHeight="false" outlineLevel="0" collapsed="false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7" t="s">
        <v>35</v>
      </c>
      <c r="H1" s="1" t="s">
        <v>36</v>
      </c>
      <c r="I1" s="1" t="s">
        <v>37</v>
      </c>
    </row>
    <row r="2" customFormat="false" ht="15" hidden="false" customHeight="false" outlineLevel="0" collapsed="false">
      <c r="A2" s="4" t="s">
        <v>38</v>
      </c>
      <c r="B2" s="4" t="s">
        <v>39</v>
      </c>
      <c r="C2" s="4" t="n">
        <v>0.335</v>
      </c>
      <c r="D2" s="4" t="s">
        <v>40</v>
      </c>
      <c r="E2" s="4" t="n">
        <v>1</v>
      </c>
      <c r="F2" s="4" t="n">
        <v>1</v>
      </c>
      <c r="G2" s="8" t="n">
        <f aca="false">IFERROR(IF(I2="Готово",ROUND(ROUND(C2*10000,0)*ROUND(E2*100,0)*F2/10000,0)/100,""),"")</f>
        <v>0.34</v>
      </c>
      <c r="H2" s="4" t="s">
        <v>41</v>
      </c>
      <c r="I2" s="5" t="str">
        <f aca="false">IFERROR(IF(COUNTA(A2:F2,H2)=0,"",IF(AND(OR(A2="Управление (без содержания)",A2="Содержание общего имущества",A2="Накопления (отдельный план)",A2="Целевые сборы (отдельный план)"),B2&lt;&gt;"",D2&lt;&gt;"",H2&lt;&gt;"",ISNUMBER(C2),C2&gt;0,ROUND(C2,4)=C2,ISNUMBER(E2),E2&gt;=0,ROUND(E2,2)=E2,ISNUMBER(F2),F2=INT(F2),F2&gt;=1,F2&lt;=366,C2*10000*E2*100*F2&lt;=9007199254740991),"Готово","Ошибка")),"Ошибка")</f>
        <v>Готово</v>
      </c>
    </row>
    <row r="3" customFormat="false" ht="26.85" hidden="false" customHeight="false" outlineLevel="0" collapsed="false">
      <c r="A3" s="4" t="s">
        <v>42</v>
      </c>
      <c r="B3" s="4" t="s">
        <v>43</v>
      </c>
      <c r="C3" s="4" t="n">
        <v>3</v>
      </c>
      <c r="D3" s="4" t="s">
        <v>40</v>
      </c>
      <c r="E3" s="4" t="n">
        <v>20</v>
      </c>
      <c r="F3" s="4" t="n">
        <v>12</v>
      </c>
      <c r="G3" s="8" t="n">
        <f aca="false">IFERROR(IF(I3="Готово",ROUND(ROUND(C3*10000,0)*ROUND(E3*100,0)*F3/10000,0)/100,""),"")</f>
        <v>720</v>
      </c>
      <c r="H3" s="4" t="s">
        <v>41</v>
      </c>
      <c r="I3" s="5" t="str">
        <f aca="false">IFERROR(IF(COUNTA(A3:F3,H3)=0,"",IF(AND(OR(A3="Управление (без содержания)",A3="Содержание общего имущества",A3="Накопления (отдельный план)",A3="Целевые сборы (отдельный план)"),B3&lt;&gt;"",D3&lt;&gt;"",H3&lt;&gt;"",ISNUMBER(C3),C3&gt;0,ROUND(C3,4)=C3,ISNUMBER(E3),E3&gt;=0,ROUND(E3,2)=E3,ISNUMBER(F3),F3=INT(F3),F3&gt;=1,F3&lt;=366,C3*10000*E3*100*F3&lt;=9007199254740991),"Готово","Ошибка")),"Ошибка")</f>
        <v>Готово</v>
      </c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8" t="str">
        <f aca="false">IFERROR(IF(I4="Готово",ROUND(ROUND(C4*10000,0)*ROUND(E4*100,0)*F4/10000,0)/100,""),"")</f>
        <v/>
      </c>
      <c r="H4" s="4"/>
      <c r="I4" s="5" t="str">
        <f aca="false">IFERROR(IF(COUNTA(A4:F4,H4)=0,"",IF(AND(OR(A4="Управление (без содержания)",A4="Содержание общего имущества",A4="Накопления (отдельный план)",A4="Целевые сборы (отдельный план)"),B4&lt;&gt;"",D4&lt;&gt;"",H4&lt;&gt;"",ISNUMBER(C4),C4&gt;0,ROUND(C4,4)=C4,ISNUMBER(E4),E4&gt;=0,ROUND(E4,2)=E4,ISNUMBER(F4),F4=INT(F4),F4&gt;=1,F4&lt;=366,C4*10000*E4*100*F4&lt;=9007199254740991),"Готово","Ошибка")),"Ошибка")</f>
        <v/>
      </c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8" t="str">
        <f aca="false">IFERROR(IF(I5="Готово",ROUND(ROUND(C5*10000,0)*ROUND(E5*100,0)*F5/10000,0)/100,""),"")</f>
        <v/>
      </c>
      <c r="H5" s="4"/>
      <c r="I5" s="5" t="str">
        <f aca="false">IFERROR(IF(COUNTA(A5:F5,H5)=0,"",IF(AND(OR(A5="Управление (без содержания)",A5="Содержание общего имущества",A5="Накопления (отдельный план)",A5="Целевые сборы (отдельный план)"),B5&lt;&gt;"",D5&lt;&gt;"",H5&lt;&gt;"",ISNUMBER(C5),C5&gt;0,ROUND(C5,4)=C5,ISNUMBER(E5),E5&gt;=0,ROUND(E5,2)=E5,ISNUMBER(F5),F5=INT(F5),F5&gt;=1,F5&lt;=366,C5*10000*E5*100*F5&lt;=9007199254740991),"Готово","Ошибка")),"Ошибка")</f>
        <v/>
      </c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8" t="str">
        <f aca="false">IFERROR(IF(I6="Готово",ROUND(ROUND(C6*10000,0)*ROUND(E6*100,0)*F6/10000,0)/100,""),"")</f>
        <v/>
      </c>
      <c r="H6" s="4"/>
      <c r="I6" s="5" t="str">
        <f aca="false">IFERROR(IF(COUNTA(A6:F6,H6)=0,"",IF(AND(OR(A6="Управление (без содержания)",A6="Содержание общего имущества",A6="Накопления (отдельный план)",A6="Целевые сборы (отдельный план)"),B6&lt;&gt;"",D6&lt;&gt;"",H6&lt;&gt;"",ISNUMBER(C6),C6&gt;0,ROUND(C6,4)=C6,ISNUMBER(E6),E6&gt;=0,ROUND(E6,2)=E6,ISNUMBER(F6),F6=INT(F6),F6&gt;=1,F6&lt;=366,C6*10000*E6*100*F6&lt;=9007199254740991),"Готово","Ошибка")),"Ошибка")</f>
        <v/>
      </c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8" t="str">
        <f aca="false">IFERROR(IF(I7="Готово",ROUND(ROUND(C7*10000,0)*ROUND(E7*100,0)*F7/10000,0)/100,""),"")</f>
        <v/>
      </c>
      <c r="H7" s="4"/>
      <c r="I7" s="5" t="str">
        <f aca="false">IFERROR(IF(COUNTA(A7:F7,H7)=0,"",IF(AND(OR(A7="Управление (без содержания)",A7="Содержание общего имущества",A7="Накопления (отдельный план)",A7="Целевые сборы (отдельный план)"),B7&lt;&gt;"",D7&lt;&gt;"",H7&lt;&gt;"",ISNUMBER(C7),C7&gt;0,ROUND(C7,4)=C7,ISNUMBER(E7),E7&gt;=0,ROUND(E7,2)=E7,ISNUMBER(F7),F7=INT(F7),F7&gt;=1,F7&lt;=366,C7*10000*E7*100*F7&lt;=9007199254740991),"Готово","Ошибка")),"Ошибка")</f>
        <v/>
      </c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8" t="str">
        <f aca="false">IFERROR(IF(I8="Готово",ROUND(ROUND(C8*10000,0)*ROUND(E8*100,0)*F8/10000,0)/100,""),"")</f>
        <v/>
      </c>
      <c r="H8" s="4"/>
      <c r="I8" s="5" t="str">
        <f aca="false">IFERROR(IF(COUNTA(A8:F8,H8)=0,"",IF(AND(OR(A8="Управление (без содержания)",A8="Содержание общего имущества",A8="Накопления (отдельный план)",A8="Целевые сборы (отдельный план)"),B8&lt;&gt;"",D8&lt;&gt;"",H8&lt;&gt;"",ISNUMBER(C8),C8&gt;0,ROUND(C8,4)=C8,ISNUMBER(E8),E8&gt;=0,ROUND(E8,2)=E8,ISNUMBER(F8),F8=INT(F8),F8&gt;=1,F8&lt;=366,C8*10000*E8*100*F8&lt;=9007199254740991),"Готово","Ошибка")),"Ошибка")</f>
        <v/>
      </c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8" t="str">
        <f aca="false">IFERROR(IF(I9="Готово",ROUND(ROUND(C9*10000,0)*ROUND(E9*100,0)*F9/10000,0)/100,""),"")</f>
        <v/>
      </c>
      <c r="H9" s="4"/>
      <c r="I9" s="5" t="str">
        <f aca="false">IFERROR(IF(COUNTA(A9:F9,H9)=0,"",IF(AND(OR(A9="Управление (без содержания)",A9="Содержание общего имущества",A9="Накопления (отдельный план)",A9="Целевые сборы (отдельный план)"),B9&lt;&gt;"",D9&lt;&gt;"",H9&lt;&gt;"",ISNUMBER(C9),C9&gt;0,ROUND(C9,4)=C9,ISNUMBER(E9),E9&gt;=0,ROUND(E9,2)=E9,ISNUMBER(F9),F9=INT(F9),F9&gt;=1,F9&lt;=366,C9*10000*E9*100*F9&lt;=9007199254740991),"Готово","Ошибка")),"Ошибка")</f>
        <v/>
      </c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8" t="str">
        <f aca="false">IFERROR(IF(I10="Готово",ROUND(ROUND(C10*10000,0)*ROUND(E10*100,0)*F10/10000,0)/100,""),"")</f>
        <v/>
      </c>
      <c r="H10" s="4"/>
      <c r="I10" s="5" t="str">
        <f aca="false">IFERROR(IF(COUNTA(A10:F10,H10)=0,"",IF(AND(OR(A10="Управление (без содержания)",A10="Содержание общего имущества",A10="Накопления (отдельный план)",A10="Целевые сборы (отдельный план)"),B10&lt;&gt;"",D10&lt;&gt;"",H10&lt;&gt;"",ISNUMBER(C10),C10&gt;0,ROUND(C10,4)=C10,ISNUMBER(E10),E10&gt;=0,ROUND(E10,2)=E10,ISNUMBER(F10),F10=INT(F10),F10&gt;=1,F10&lt;=366,C10*10000*E10*100*F10&lt;=9007199254740991),"Готово","Ошибка")),"Ошибка")</f>
        <v/>
      </c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8" t="str">
        <f aca="false">IFERROR(IF(I11="Готово",ROUND(ROUND(C11*10000,0)*ROUND(E11*100,0)*F11/10000,0)/100,""),"")</f>
        <v/>
      </c>
      <c r="H11" s="4"/>
      <c r="I11" s="5" t="str">
        <f aca="false">IFERROR(IF(COUNTA(A11:F11,H11)=0,"",IF(AND(OR(A11="Управление (без содержания)",A11="Содержание общего имущества",A11="Накопления (отдельный план)",A11="Целевые сборы (отдельный план)"),B11&lt;&gt;"",D11&lt;&gt;"",H11&lt;&gt;"",ISNUMBER(C11),C11&gt;0,ROUND(C11,4)=C11,ISNUMBER(E11),E11&gt;=0,ROUND(E11,2)=E11,ISNUMBER(F11),F11=INT(F11),F11&gt;=1,F11&lt;=366,C11*10000*E11*100*F11&lt;=9007199254740991),"Готово","Ошибка")),"Ошибка")</f>
        <v/>
      </c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8" t="str">
        <f aca="false">IFERROR(IF(I12="Готово",ROUND(ROUND(C12*10000,0)*ROUND(E12*100,0)*F12/10000,0)/100,""),"")</f>
        <v/>
      </c>
      <c r="H12" s="4"/>
      <c r="I12" s="5" t="str">
        <f aca="false">IFERROR(IF(COUNTA(A12:F12,H12)=0,"",IF(AND(OR(A12="Управление (без содержания)",A12="Содержание общего имущества",A12="Накопления (отдельный план)",A12="Целевые сборы (отдельный план)"),B12&lt;&gt;"",D12&lt;&gt;"",H12&lt;&gt;"",ISNUMBER(C12),C12&gt;0,ROUND(C12,4)=C12,ISNUMBER(E12),E12&gt;=0,ROUND(E12,2)=E12,ISNUMBER(F12),F12=INT(F12),F12&gt;=1,F12&lt;=366,C12*10000*E12*100*F12&lt;=9007199254740991),"Готово","Ошибка")),"Ошибка")</f>
        <v/>
      </c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8" t="str">
        <f aca="false">IFERROR(IF(I13="Готово",ROUND(ROUND(C13*10000,0)*ROUND(E13*100,0)*F13/10000,0)/100,""),"")</f>
        <v/>
      </c>
      <c r="H13" s="4"/>
      <c r="I13" s="5" t="str">
        <f aca="false">IFERROR(IF(COUNTA(A13:F13,H13)=0,"",IF(AND(OR(A13="Управление (без содержания)",A13="Содержание общего имущества",A13="Накопления (отдельный план)",A13="Целевые сборы (отдельный план)"),B13&lt;&gt;"",D13&lt;&gt;"",H13&lt;&gt;"",ISNUMBER(C13),C13&gt;0,ROUND(C13,4)=C13,ISNUMBER(E13),E13&gt;=0,ROUND(E13,2)=E13,ISNUMBER(F13),F13=INT(F13),F13&gt;=1,F13&lt;=366,C13*10000*E13*100*F13&lt;=9007199254740991),"Готово","Ошибка")),"Ошибка")</f>
        <v/>
      </c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8" t="str">
        <f aca="false">IFERROR(IF(I14="Готово",ROUND(ROUND(C14*10000,0)*ROUND(E14*100,0)*F14/10000,0)/100,""),"")</f>
        <v/>
      </c>
      <c r="H14" s="4"/>
      <c r="I14" s="5" t="str">
        <f aca="false">IFERROR(IF(COUNTA(A14:F14,H14)=0,"",IF(AND(OR(A14="Управление (без содержания)",A14="Содержание общего имущества",A14="Накопления (отдельный план)",A14="Целевые сборы (отдельный план)"),B14&lt;&gt;"",D14&lt;&gt;"",H14&lt;&gt;"",ISNUMBER(C14),C14&gt;0,ROUND(C14,4)=C14,ISNUMBER(E14),E14&gt;=0,ROUND(E14,2)=E14,ISNUMBER(F14),F14=INT(F14),F14&gt;=1,F14&lt;=366,C14*10000*E14*100*F14&lt;=9007199254740991),"Готово","Ошибка")),"Ошибка")</f>
        <v/>
      </c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8" t="str">
        <f aca="false">IFERROR(IF(I15="Готово",ROUND(ROUND(C15*10000,0)*ROUND(E15*100,0)*F15/10000,0)/100,""),"")</f>
        <v/>
      </c>
      <c r="H15" s="4"/>
      <c r="I15" s="5" t="str">
        <f aca="false">IFERROR(IF(COUNTA(A15:F15,H15)=0,"",IF(AND(OR(A15="Управление (без содержания)",A15="Содержание общего имущества",A15="Накопления (отдельный план)",A15="Целевые сборы (отдельный план)"),B15&lt;&gt;"",D15&lt;&gt;"",H15&lt;&gt;"",ISNUMBER(C15),C15&gt;0,ROUND(C15,4)=C15,ISNUMBER(E15),E15&gt;=0,ROUND(E15,2)=E15,ISNUMBER(F15),F15=INT(F15),F15&gt;=1,F15&lt;=366,C15*10000*E15*100*F15&lt;=9007199254740991),"Готово","Ошибка")),"Ошибка")</f>
        <v/>
      </c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8" t="str">
        <f aca="false">IFERROR(IF(I16="Готово",ROUND(ROUND(C16*10000,0)*ROUND(E16*100,0)*F16/10000,0)/100,""),"")</f>
        <v/>
      </c>
      <c r="H16" s="4"/>
      <c r="I16" s="5" t="str">
        <f aca="false">IFERROR(IF(COUNTA(A16:F16,H16)=0,"",IF(AND(OR(A16="Управление (без содержания)",A16="Содержание общего имущества",A16="Накопления (отдельный план)",A16="Целевые сборы (отдельный план)"),B16&lt;&gt;"",D16&lt;&gt;"",H16&lt;&gt;"",ISNUMBER(C16),C16&gt;0,ROUND(C16,4)=C16,ISNUMBER(E16),E16&gt;=0,ROUND(E16,2)=E16,ISNUMBER(F16),F16=INT(F16),F16&gt;=1,F16&lt;=366,C16*10000*E16*100*F16&lt;=9007199254740991),"Готово","Ошибка")),"Ошибка")</f>
        <v/>
      </c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8" t="str">
        <f aca="false">IFERROR(IF(I17="Готово",ROUND(ROUND(C17*10000,0)*ROUND(E17*100,0)*F17/10000,0)/100,""),"")</f>
        <v/>
      </c>
      <c r="H17" s="4"/>
      <c r="I17" s="5" t="str">
        <f aca="false">IFERROR(IF(COUNTA(A17:F17,H17)=0,"",IF(AND(OR(A17="Управление (без содержания)",A17="Содержание общего имущества",A17="Накопления (отдельный план)",A17="Целевые сборы (отдельный план)"),B17&lt;&gt;"",D17&lt;&gt;"",H17&lt;&gt;"",ISNUMBER(C17),C17&gt;0,ROUND(C17,4)=C17,ISNUMBER(E17),E17&gt;=0,ROUND(E17,2)=E17,ISNUMBER(F17),F17=INT(F17),F17&gt;=1,F17&lt;=366,C17*10000*E17*100*F17&lt;=9007199254740991),"Готово","Ошибка")),"Ошибка")</f>
        <v/>
      </c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8" t="str">
        <f aca="false">IFERROR(IF(I18="Готово",ROUND(ROUND(C18*10000,0)*ROUND(E18*100,0)*F18/10000,0)/100,""),"")</f>
        <v/>
      </c>
      <c r="H18" s="4"/>
      <c r="I18" s="5" t="str">
        <f aca="false">IFERROR(IF(COUNTA(A18:F18,H18)=0,"",IF(AND(OR(A18="Управление (без содержания)",A18="Содержание общего имущества",A18="Накопления (отдельный план)",A18="Целевые сборы (отдельный план)"),B18&lt;&gt;"",D18&lt;&gt;"",H18&lt;&gt;"",ISNUMBER(C18),C18&gt;0,ROUND(C18,4)=C18,ISNUMBER(E18),E18&gt;=0,ROUND(E18,2)=E18,ISNUMBER(F18),F18=INT(F18),F18&gt;=1,F18&lt;=366,C18*10000*E18*100*F18&lt;=9007199254740991),"Готово","Ошибка")),"Ошибка")</f>
        <v/>
      </c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8" t="str">
        <f aca="false">IFERROR(IF(I19="Готово",ROUND(ROUND(C19*10000,0)*ROUND(E19*100,0)*F19/10000,0)/100,""),"")</f>
        <v/>
      </c>
      <c r="H19" s="4"/>
      <c r="I19" s="5" t="str">
        <f aca="false">IFERROR(IF(COUNTA(A19:F19,H19)=0,"",IF(AND(OR(A19="Управление (без содержания)",A19="Содержание общего имущества",A19="Накопления (отдельный план)",A19="Целевые сборы (отдельный план)"),B19&lt;&gt;"",D19&lt;&gt;"",H19&lt;&gt;"",ISNUMBER(C19),C19&gt;0,ROUND(C19,4)=C19,ISNUMBER(E19),E19&gt;=0,ROUND(E19,2)=E19,ISNUMBER(F19),F19=INT(F19),F19&gt;=1,F19&lt;=366,C19*10000*E19*100*F19&lt;=9007199254740991),"Готово","Ошибка")),"Ошибка")</f>
        <v/>
      </c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8" t="str">
        <f aca="false">IFERROR(IF(I20="Готово",ROUND(ROUND(C20*10000,0)*ROUND(E20*100,0)*F20/10000,0)/100,""),"")</f>
        <v/>
      </c>
      <c r="H20" s="4"/>
      <c r="I20" s="5" t="str">
        <f aca="false">IFERROR(IF(COUNTA(A20:F20,H20)=0,"",IF(AND(OR(A20="Управление (без содержания)",A20="Содержание общего имущества",A20="Накопления (отдельный план)",A20="Целевые сборы (отдельный план)"),B20&lt;&gt;"",D20&lt;&gt;"",H20&lt;&gt;"",ISNUMBER(C20),C20&gt;0,ROUND(C20,4)=C20,ISNUMBER(E20),E20&gt;=0,ROUND(E20,2)=E20,ISNUMBER(F20),F20=INT(F20),F20&gt;=1,F20&lt;=366,C20*10000*E20*100*F20&lt;=9007199254740991),"Готово","Ошибка")),"Ошибка")</f>
        <v/>
      </c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8" t="str">
        <f aca="false">IFERROR(IF(I21="Готово",ROUND(ROUND(C21*10000,0)*ROUND(E21*100,0)*F21/10000,0)/100,""),"")</f>
        <v/>
      </c>
      <c r="H21" s="4"/>
      <c r="I21" s="5" t="str">
        <f aca="false">IFERROR(IF(COUNTA(A21:F21,H21)=0,"",IF(AND(OR(A21="Управление (без содержания)",A21="Содержание общего имущества",A21="Накопления (отдельный план)",A21="Целевые сборы (отдельный план)"),B21&lt;&gt;"",D21&lt;&gt;"",H21&lt;&gt;"",ISNUMBER(C21),C21&gt;0,ROUND(C21,4)=C21,ISNUMBER(E21),E21&gt;=0,ROUND(E21,2)=E21,ISNUMBER(F21),F21=INT(F21),F21&gt;=1,F21&lt;=366,C21*10000*E21*100*F21&lt;=9007199254740991),"Готово","Ошибка")),"Ошибка")</f>
        <v/>
      </c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8" t="str">
        <f aca="false">IFERROR(IF(I22="Готово",ROUND(ROUND(C22*10000,0)*ROUND(E22*100,0)*F22/10000,0)/100,""),"")</f>
        <v/>
      </c>
      <c r="H22" s="4"/>
      <c r="I22" s="5" t="str">
        <f aca="false">IFERROR(IF(COUNTA(A22:F22,H22)=0,"",IF(AND(OR(A22="Управление (без содержания)",A22="Содержание общего имущества",A22="Накопления (отдельный план)",A22="Целевые сборы (отдельный план)"),B22&lt;&gt;"",D22&lt;&gt;"",H22&lt;&gt;"",ISNUMBER(C22),C22&gt;0,ROUND(C22,4)=C22,ISNUMBER(E22),E22&gt;=0,ROUND(E22,2)=E22,ISNUMBER(F22),F22=INT(F22),F22&gt;=1,F22&lt;=366,C22*10000*E22*100*F22&lt;=9007199254740991),"Готово","Ошибка")),"Ошибка")</f>
        <v/>
      </c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8" t="str">
        <f aca="false">IFERROR(IF(I23="Готово",ROUND(ROUND(C23*10000,0)*ROUND(E23*100,0)*F23/10000,0)/100,""),"")</f>
        <v/>
      </c>
      <c r="H23" s="4"/>
      <c r="I23" s="5" t="str">
        <f aca="false">IFERROR(IF(COUNTA(A23:F23,H23)=0,"",IF(AND(OR(A23="Управление (без содержания)",A23="Содержание общего имущества",A23="Накопления (отдельный план)",A23="Целевые сборы (отдельный план)"),B23&lt;&gt;"",D23&lt;&gt;"",H23&lt;&gt;"",ISNUMBER(C23),C23&gt;0,ROUND(C23,4)=C23,ISNUMBER(E23),E23&gt;=0,ROUND(E23,2)=E23,ISNUMBER(F23),F23=INT(F23),F23&gt;=1,F23&lt;=366,C23*10000*E23*100*F23&lt;=9007199254740991),"Готово","Ошибка")),"Ошибка")</f>
        <v/>
      </c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8" t="str">
        <f aca="false">IFERROR(IF(I24="Готово",ROUND(ROUND(C24*10000,0)*ROUND(E24*100,0)*F24/10000,0)/100,""),"")</f>
        <v/>
      </c>
      <c r="H24" s="4"/>
      <c r="I24" s="5" t="str">
        <f aca="false">IFERROR(IF(COUNTA(A24:F24,H24)=0,"",IF(AND(OR(A24="Управление (без содержания)",A24="Содержание общего имущества",A24="Накопления (отдельный план)",A24="Целевые сборы (отдельный план)"),B24&lt;&gt;"",D24&lt;&gt;"",H24&lt;&gt;"",ISNUMBER(C24),C24&gt;0,ROUND(C24,4)=C24,ISNUMBER(E24),E24&gt;=0,ROUND(E24,2)=E24,ISNUMBER(F24),F24=INT(F24),F24&gt;=1,F24&lt;=366,C24*10000*E24*100*F24&lt;=9007199254740991),"Готово","Ошибка")),"Ошибка")</f>
        <v/>
      </c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8" t="str">
        <f aca="false">IFERROR(IF(I25="Готово",ROUND(ROUND(C25*10000,0)*ROUND(E25*100,0)*F25/10000,0)/100,""),"")</f>
        <v/>
      </c>
      <c r="H25" s="4"/>
      <c r="I25" s="5" t="str">
        <f aca="false">IFERROR(IF(COUNTA(A25:F25,H25)=0,"",IF(AND(OR(A25="Управление (без содержания)",A25="Содержание общего имущества",A25="Накопления (отдельный план)",A25="Целевые сборы (отдельный план)"),B25&lt;&gt;"",D25&lt;&gt;"",H25&lt;&gt;"",ISNUMBER(C25),C25&gt;0,ROUND(C25,4)=C25,ISNUMBER(E25),E25&gt;=0,ROUND(E25,2)=E25,ISNUMBER(F25),F25=INT(F25),F25&gt;=1,F25&lt;=366,C25*10000*E25*100*F25&lt;=9007199254740991),"Готово","Ошибка")),"Ошибка")</f>
        <v/>
      </c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8" t="str">
        <f aca="false">IFERROR(IF(I26="Готово",ROUND(ROUND(C26*10000,0)*ROUND(E26*100,0)*F26/10000,0)/100,""),"")</f>
        <v/>
      </c>
      <c r="H26" s="4"/>
      <c r="I26" s="5" t="str">
        <f aca="false">IFERROR(IF(COUNTA(A26:F26,H26)=0,"",IF(AND(OR(A26="Управление (без содержания)",A26="Содержание общего имущества",A26="Накопления (отдельный план)",A26="Целевые сборы (отдельный план)"),B26&lt;&gt;"",D26&lt;&gt;"",H26&lt;&gt;"",ISNUMBER(C26),C26&gt;0,ROUND(C26,4)=C26,ISNUMBER(E26),E26&gt;=0,ROUND(E26,2)=E26,ISNUMBER(F26),F26=INT(F26),F26&gt;=1,F26&lt;=366,C26*10000*E26*100*F26&lt;=9007199254740991),"Готово","Ошибка")),"Ошибка")</f>
        <v/>
      </c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8" t="str">
        <f aca="false">IFERROR(IF(I27="Готово",ROUND(ROUND(C27*10000,0)*ROUND(E27*100,0)*F27/10000,0)/100,""),"")</f>
        <v/>
      </c>
      <c r="H27" s="4"/>
      <c r="I27" s="5" t="str">
        <f aca="false">IFERROR(IF(COUNTA(A27:F27,H27)=0,"",IF(AND(OR(A27="Управление (без содержания)",A27="Содержание общего имущества",A27="Накопления (отдельный план)",A27="Целевые сборы (отдельный план)"),B27&lt;&gt;"",D27&lt;&gt;"",H27&lt;&gt;"",ISNUMBER(C27),C27&gt;0,ROUND(C27,4)=C27,ISNUMBER(E27),E27&gt;=0,ROUND(E27,2)=E27,ISNUMBER(F27),F27=INT(F27),F27&gt;=1,F27&lt;=366,C27*10000*E27*100*F27&lt;=9007199254740991),"Готово","Ошибка")),"Ошибка")</f>
        <v/>
      </c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8" t="str">
        <f aca="false">IFERROR(IF(I28="Готово",ROUND(ROUND(C28*10000,0)*ROUND(E28*100,0)*F28/10000,0)/100,""),"")</f>
        <v/>
      </c>
      <c r="H28" s="4"/>
      <c r="I28" s="5" t="str">
        <f aca="false">IFERROR(IF(COUNTA(A28:F28,H28)=0,"",IF(AND(OR(A28="Управление (без содержания)",A28="Содержание общего имущества",A28="Накопления (отдельный план)",A28="Целевые сборы (отдельный план)"),B28&lt;&gt;"",D28&lt;&gt;"",H28&lt;&gt;"",ISNUMBER(C28),C28&gt;0,ROUND(C28,4)=C28,ISNUMBER(E28),E28&gt;=0,ROUND(E28,2)=E28,ISNUMBER(F28),F28=INT(F28),F28&gt;=1,F28&lt;=366,C28*10000*E28*100*F28&lt;=9007199254740991),"Готово","Ошибка")),"Ошибка")</f>
        <v/>
      </c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8" t="str">
        <f aca="false">IFERROR(IF(I29="Готово",ROUND(ROUND(C29*10000,0)*ROUND(E29*100,0)*F29/10000,0)/100,""),"")</f>
        <v/>
      </c>
      <c r="H29" s="4"/>
      <c r="I29" s="5" t="str">
        <f aca="false">IFERROR(IF(COUNTA(A29:F29,H29)=0,"",IF(AND(OR(A29="Управление (без содержания)",A29="Содержание общего имущества",A29="Накопления (отдельный план)",A29="Целевые сборы (отдельный план)"),B29&lt;&gt;"",D29&lt;&gt;"",H29&lt;&gt;"",ISNUMBER(C29),C29&gt;0,ROUND(C29,4)=C29,ISNUMBER(E29),E29&gt;=0,ROUND(E29,2)=E29,ISNUMBER(F29),F29=INT(F29),F29&gt;=1,F29&lt;=366,C29*10000*E29*100*F29&lt;=9007199254740991),"Готово","Ошибка")),"Ошибка")</f>
        <v/>
      </c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8" t="str">
        <f aca="false">IFERROR(IF(I30="Готово",ROUND(ROUND(C30*10000,0)*ROUND(E30*100,0)*F30/10000,0)/100,""),"")</f>
        <v/>
      </c>
      <c r="H30" s="4"/>
      <c r="I30" s="5" t="str">
        <f aca="false">IFERROR(IF(COUNTA(A30:F30,H30)=0,"",IF(AND(OR(A30="Управление (без содержания)",A30="Содержание общего имущества",A30="Накопления (отдельный план)",A30="Целевые сборы (отдельный план)"),B30&lt;&gt;"",D30&lt;&gt;"",H30&lt;&gt;"",ISNUMBER(C30),C30&gt;0,ROUND(C30,4)=C30,ISNUMBER(E30),E30&gt;=0,ROUND(E30,2)=E30,ISNUMBER(F30),F30=INT(F30),F30&gt;=1,F30&lt;=366,C30*10000*E30*100*F30&lt;=9007199254740991),"Готово","Ошибка")),"Ошибка")</f>
        <v/>
      </c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8" t="str">
        <f aca="false">IFERROR(IF(I31="Готово",ROUND(ROUND(C31*10000,0)*ROUND(E31*100,0)*F31/10000,0)/100,""),"")</f>
        <v/>
      </c>
      <c r="H31" s="4"/>
      <c r="I31" s="5" t="str">
        <f aca="false">IFERROR(IF(COUNTA(A31:F31,H31)=0,"",IF(AND(OR(A31="Управление (без содержания)",A31="Содержание общего имущества",A31="Накопления (отдельный план)",A31="Целевые сборы (отдельный план)"),B31&lt;&gt;"",D31&lt;&gt;"",H31&lt;&gt;"",ISNUMBER(C31),C31&gt;0,ROUND(C31,4)=C31,ISNUMBER(E31),E31&gt;=0,ROUND(E31,2)=E31,ISNUMBER(F31),F31=INT(F31),F31&gt;=1,F31&lt;=366,C31*10000*E31*100*F31&lt;=9007199254740991),"Готово","Ошибка")),"Ошибка")</f>
        <v/>
      </c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8" t="str">
        <f aca="false">IFERROR(IF(I32="Готово",ROUND(ROUND(C32*10000,0)*ROUND(E32*100,0)*F32/10000,0)/100,""),"")</f>
        <v/>
      </c>
      <c r="H32" s="4"/>
      <c r="I32" s="5" t="str">
        <f aca="false">IFERROR(IF(COUNTA(A32:F32,H32)=0,"",IF(AND(OR(A32="Управление (без содержания)",A32="Содержание общего имущества",A32="Накопления (отдельный план)",A32="Целевые сборы (отдельный план)"),B32&lt;&gt;"",D32&lt;&gt;"",H32&lt;&gt;"",ISNUMBER(C32),C32&gt;0,ROUND(C32,4)=C32,ISNUMBER(E32),E32&gt;=0,ROUND(E32,2)=E32,ISNUMBER(F32),F32=INT(F32),F32&gt;=1,F32&lt;=366,C32*10000*E32*100*F32&lt;=9007199254740991),"Готово","Ошибка")),"Ошибка")</f>
        <v/>
      </c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8" t="str">
        <f aca="false">IFERROR(IF(I33="Готово",ROUND(ROUND(C33*10000,0)*ROUND(E33*100,0)*F33/10000,0)/100,""),"")</f>
        <v/>
      </c>
      <c r="H33" s="4"/>
      <c r="I33" s="5" t="str">
        <f aca="false">IFERROR(IF(COUNTA(A33:F33,H33)=0,"",IF(AND(OR(A33="Управление (без содержания)",A33="Содержание общего имущества",A33="Накопления (отдельный план)",A33="Целевые сборы (отдельный план)"),B33&lt;&gt;"",D33&lt;&gt;"",H33&lt;&gt;"",ISNUMBER(C33),C33&gt;0,ROUND(C33,4)=C33,ISNUMBER(E33),E33&gt;=0,ROUND(E33,2)=E33,ISNUMBER(F33),F33=INT(F33),F33&gt;=1,F33&lt;=366,C33*10000*E33*100*F33&lt;=9007199254740991),"Готово","Ошибка")),"Ошибка")</f>
        <v/>
      </c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8" t="str">
        <f aca="false">IFERROR(IF(I34="Готово",ROUND(ROUND(C34*10000,0)*ROUND(E34*100,0)*F34/10000,0)/100,""),"")</f>
        <v/>
      </c>
      <c r="H34" s="4"/>
      <c r="I34" s="5" t="str">
        <f aca="false">IFERROR(IF(COUNTA(A34:F34,H34)=0,"",IF(AND(OR(A34="Управление (без содержания)",A34="Содержание общего имущества",A34="Накопления (отдельный план)",A34="Целевые сборы (отдельный план)"),B34&lt;&gt;"",D34&lt;&gt;"",H34&lt;&gt;"",ISNUMBER(C34),C34&gt;0,ROUND(C34,4)=C34,ISNUMBER(E34),E34&gt;=0,ROUND(E34,2)=E34,ISNUMBER(F34),F34=INT(F34),F34&gt;=1,F34&lt;=366,C34*10000*E34*100*F34&lt;=9007199254740991),"Готово","Ошибка")),"Ошибка")</f>
        <v/>
      </c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8" t="str">
        <f aca="false">IFERROR(IF(I35="Готово",ROUND(ROUND(C35*10000,0)*ROUND(E35*100,0)*F35/10000,0)/100,""),"")</f>
        <v/>
      </c>
      <c r="H35" s="4"/>
      <c r="I35" s="5" t="str">
        <f aca="false">IFERROR(IF(COUNTA(A35:F35,H35)=0,"",IF(AND(OR(A35="Управление (без содержания)",A35="Содержание общего имущества",A35="Накопления (отдельный план)",A35="Целевые сборы (отдельный план)"),B35&lt;&gt;"",D35&lt;&gt;"",H35&lt;&gt;"",ISNUMBER(C35),C35&gt;0,ROUND(C35,4)=C35,ISNUMBER(E35),E35&gt;=0,ROUND(E35,2)=E35,ISNUMBER(F35),F35=INT(F35),F35&gt;=1,F35&lt;=366,C35*10000*E35*100*F35&lt;=9007199254740991),"Готово","Ошибка")),"Ошибка")</f>
        <v/>
      </c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8" t="str">
        <f aca="false">IFERROR(IF(I36="Готово",ROUND(ROUND(C36*10000,0)*ROUND(E36*100,0)*F36/10000,0)/100,""),"")</f>
        <v/>
      </c>
      <c r="H36" s="4"/>
      <c r="I36" s="5" t="str">
        <f aca="false">IFERROR(IF(COUNTA(A36:F36,H36)=0,"",IF(AND(OR(A36="Управление (без содержания)",A36="Содержание общего имущества",A36="Накопления (отдельный план)",A36="Целевые сборы (отдельный план)"),B36&lt;&gt;"",D36&lt;&gt;"",H36&lt;&gt;"",ISNUMBER(C36),C36&gt;0,ROUND(C36,4)=C36,ISNUMBER(E36),E36&gt;=0,ROUND(E36,2)=E36,ISNUMBER(F36),F36=INT(F36),F36&gt;=1,F36&lt;=366,C36*10000*E36*100*F36&lt;=9007199254740991),"Готово","Ошибка")),"Ошибка")</f>
        <v/>
      </c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8" t="str">
        <f aca="false">IFERROR(IF(I37="Готово",ROUND(ROUND(C37*10000,0)*ROUND(E37*100,0)*F37/10000,0)/100,""),"")</f>
        <v/>
      </c>
      <c r="H37" s="4"/>
      <c r="I37" s="5" t="str">
        <f aca="false">IFERROR(IF(COUNTA(A37:F37,H37)=0,"",IF(AND(OR(A37="Управление (без содержания)",A37="Содержание общего имущества",A37="Накопления (отдельный план)",A37="Целевые сборы (отдельный план)"),B37&lt;&gt;"",D37&lt;&gt;"",H37&lt;&gt;"",ISNUMBER(C37),C37&gt;0,ROUND(C37,4)=C37,ISNUMBER(E37),E37&gt;=0,ROUND(E37,2)=E37,ISNUMBER(F37),F37=INT(F37),F37&gt;=1,F37&lt;=366,C37*10000*E37*100*F37&lt;=9007199254740991),"Готово","Ошибка")),"Ошибка")</f>
        <v/>
      </c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8" t="str">
        <f aca="false">IFERROR(IF(I38="Готово",ROUND(ROUND(C38*10000,0)*ROUND(E38*100,0)*F38/10000,0)/100,""),"")</f>
        <v/>
      </c>
      <c r="H38" s="4"/>
      <c r="I38" s="5" t="str">
        <f aca="false">IFERROR(IF(COUNTA(A38:F38,H38)=0,"",IF(AND(OR(A38="Управление (без содержания)",A38="Содержание общего имущества",A38="Накопления (отдельный план)",A38="Целевые сборы (отдельный план)"),B38&lt;&gt;"",D38&lt;&gt;"",H38&lt;&gt;"",ISNUMBER(C38),C38&gt;0,ROUND(C38,4)=C38,ISNUMBER(E38),E38&gt;=0,ROUND(E38,2)=E38,ISNUMBER(F38),F38=INT(F38),F38&gt;=1,F38&lt;=366,C38*10000*E38*100*F38&lt;=9007199254740991),"Готово","Ошибка")),"Ошибка")</f>
        <v/>
      </c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8" t="str">
        <f aca="false">IFERROR(IF(I39="Готово",ROUND(ROUND(C39*10000,0)*ROUND(E39*100,0)*F39/10000,0)/100,""),"")</f>
        <v/>
      </c>
      <c r="H39" s="4"/>
      <c r="I39" s="5" t="str">
        <f aca="false">IFERROR(IF(COUNTA(A39:F39,H39)=0,"",IF(AND(OR(A39="Управление (без содержания)",A39="Содержание общего имущества",A39="Накопления (отдельный план)",A39="Целевые сборы (отдельный план)"),B39&lt;&gt;"",D39&lt;&gt;"",H39&lt;&gt;"",ISNUMBER(C39),C39&gt;0,ROUND(C39,4)=C39,ISNUMBER(E39),E39&gt;=0,ROUND(E39,2)=E39,ISNUMBER(F39),F39=INT(F39),F39&gt;=1,F39&lt;=366,C39*10000*E39*100*F39&lt;=9007199254740991),"Готово","Ошибка")),"Ошибка")</f>
        <v/>
      </c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8" t="str">
        <f aca="false">IFERROR(IF(I40="Готово",ROUND(ROUND(C40*10000,0)*ROUND(E40*100,0)*F40/10000,0)/100,""),"")</f>
        <v/>
      </c>
      <c r="H40" s="4"/>
      <c r="I40" s="5" t="str">
        <f aca="false">IFERROR(IF(COUNTA(A40:F40,H40)=0,"",IF(AND(OR(A40="Управление (без содержания)",A40="Содержание общего имущества",A40="Накопления (отдельный план)",A40="Целевые сборы (отдельный план)"),B40&lt;&gt;"",D40&lt;&gt;"",H40&lt;&gt;"",ISNUMBER(C40),C40&gt;0,ROUND(C40,4)=C40,ISNUMBER(E40),E40&gt;=0,ROUND(E40,2)=E40,ISNUMBER(F40),F40=INT(F40),F40&gt;=1,F40&lt;=366,C40*10000*E40*100*F40&lt;=9007199254740991),"Готово","Ошибка")),"Ошибка")</f>
        <v/>
      </c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8" t="str">
        <f aca="false">IFERROR(IF(I41="Готово",ROUND(ROUND(C41*10000,0)*ROUND(E41*100,0)*F41/10000,0)/100,""),"")</f>
        <v/>
      </c>
      <c r="H41" s="4"/>
      <c r="I41" s="5" t="str">
        <f aca="false">IFERROR(IF(COUNTA(A41:F41,H41)=0,"",IF(AND(OR(A41="Управление (без содержания)",A41="Содержание общего имущества",A41="Накопления (отдельный план)",A41="Целевые сборы (отдельный план)"),B41&lt;&gt;"",D41&lt;&gt;"",H41&lt;&gt;"",ISNUMBER(C41),C41&gt;0,ROUND(C41,4)=C41,ISNUMBER(E41),E41&gt;=0,ROUND(E41,2)=E41,ISNUMBER(F41),F41=INT(F41),F41&gt;=1,F41&lt;=366,C41*10000*E41*100*F41&lt;=9007199254740991),"Готово","Ошибка")),"Ошибка")</f>
        <v/>
      </c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8" t="str">
        <f aca="false">IFERROR(IF(I42="Готово",ROUND(ROUND(C42*10000,0)*ROUND(E42*100,0)*F42/10000,0)/100,""),"")</f>
        <v/>
      </c>
      <c r="H42" s="4"/>
      <c r="I42" s="5" t="str">
        <f aca="false">IFERROR(IF(COUNTA(A42:F42,H42)=0,"",IF(AND(OR(A42="Управление (без содержания)",A42="Содержание общего имущества",A42="Накопления (отдельный план)",A42="Целевые сборы (отдельный план)"),B42&lt;&gt;"",D42&lt;&gt;"",H42&lt;&gt;"",ISNUMBER(C42),C42&gt;0,ROUND(C42,4)=C42,ISNUMBER(E42),E42&gt;=0,ROUND(E42,2)=E42,ISNUMBER(F42),F42=INT(F42),F42&gt;=1,F42&lt;=366,C42*10000*E42*100*F42&lt;=9007199254740991),"Готово","Ошибка")),"Ошибка")</f>
        <v/>
      </c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8" t="str">
        <f aca="false">IFERROR(IF(I43="Готово",ROUND(ROUND(C43*10000,0)*ROUND(E43*100,0)*F43/10000,0)/100,""),"")</f>
        <v/>
      </c>
      <c r="H43" s="4"/>
      <c r="I43" s="5" t="str">
        <f aca="false">IFERROR(IF(COUNTA(A43:F43,H43)=0,"",IF(AND(OR(A43="Управление (без содержания)",A43="Содержание общего имущества",A43="Накопления (отдельный план)",A43="Целевые сборы (отдельный план)"),B43&lt;&gt;"",D43&lt;&gt;"",H43&lt;&gt;"",ISNUMBER(C43),C43&gt;0,ROUND(C43,4)=C43,ISNUMBER(E43),E43&gt;=0,ROUND(E43,2)=E43,ISNUMBER(F43),F43=INT(F43),F43&gt;=1,F43&lt;=366,C43*10000*E43*100*F43&lt;=9007199254740991),"Готово","Ошибка")),"Ошибка")</f>
        <v/>
      </c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8" t="str">
        <f aca="false">IFERROR(IF(I44="Готово",ROUND(ROUND(C44*10000,0)*ROUND(E44*100,0)*F44/10000,0)/100,""),"")</f>
        <v/>
      </c>
      <c r="H44" s="4"/>
      <c r="I44" s="5" t="str">
        <f aca="false">IFERROR(IF(COUNTA(A44:F44,H44)=0,"",IF(AND(OR(A44="Управление (без содержания)",A44="Содержание общего имущества",A44="Накопления (отдельный план)",A44="Целевые сборы (отдельный план)"),B44&lt;&gt;"",D44&lt;&gt;"",H44&lt;&gt;"",ISNUMBER(C44),C44&gt;0,ROUND(C44,4)=C44,ISNUMBER(E44),E44&gt;=0,ROUND(E44,2)=E44,ISNUMBER(F44),F44=INT(F44),F44&gt;=1,F44&lt;=366,C44*10000*E44*100*F44&lt;=9007199254740991),"Готово","Ошибка")),"Ошибка")</f>
        <v/>
      </c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8" t="str">
        <f aca="false">IFERROR(IF(I45="Готово",ROUND(ROUND(C45*10000,0)*ROUND(E45*100,0)*F45/10000,0)/100,""),"")</f>
        <v/>
      </c>
      <c r="H45" s="4"/>
      <c r="I45" s="5" t="str">
        <f aca="false">IFERROR(IF(COUNTA(A45:F45,H45)=0,"",IF(AND(OR(A45="Управление (без содержания)",A45="Содержание общего имущества",A45="Накопления (отдельный план)",A45="Целевые сборы (отдельный план)"),B45&lt;&gt;"",D45&lt;&gt;"",H45&lt;&gt;"",ISNUMBER(C45),C45&gt;0,ROUND(C45,4)=C45,ISNUMBER(E45),E45&gt;=0,ROUND(E45,2)=E45,ISNUMBER(F45),F45=INT(F45),F45&gt;=1,F45&lt;=366,C45*10000*E45*100*F45&lt;=9007199254740991),"Готово","Ошибка")),"Ошибка")</f>
        <v/>
      </c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8" t="str">
        <f aca="false">IFERROR(IF(I46="Готово",ROUND(ROUND(C46*10000,0)*ROUND(E46*100,0)*F46/10000,0)/100,""),"")</f>
        <v/>
      </c>
      <c r="H46" s="4"/>
      <c r="I46" s="5" t="str">
        <f aca="false">IFERROR(IF(COUNTA(A46:F46,H46)=0,"",IF(AND(OR(A46="Управление (без содержания)",A46="Содержание общего имущества",A46="Накопления (отдельный план)",A46="Целевые сборы (отдельный план)"),B46&lt;&gt;"",D46&lt;&gt;"",H46&lt;&gt;"",ISNUMBER(C46),C46&gt;0,ROUND(C46,4)=C46,ISNUMBER(E46),E46&gt;=0,ROUND(E46,2)=E46,ISNUMBER(F46),F46=INT(F46),F46&gt;=1,F46&lt;=366,C46*10000*E46*100*F46&lt;=9007199254740991),"Готово","Ошибка")),"Ошибка")</f>
        <v/>
      </c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8" t="str">
        <f aca="false">IFERROR(IF(I47="Готово",ROUND(ROUND(C47*10000,0)*ROUND(E47*100,0)*F47/10000,0)/100,""),"")</f>
        <v/>
      </c>
      <c r="H47" s="4"/>
      <c r="I47" s="5" t="str">
        <f aca="false">IFERROR(IF(COUNTA(A47:F47,H47)=0,"",IF(AND(OR(A47="Управление (без содержания)",A47="Содержание общего имущества",A47="Накопления (отдельный план)",A47="Целевые сборы (отдельный план)"),B47&lt;&gt;"",D47&lt;&gt;"",H47&lt;&gt;"",ISNUMBER(C47),C47&gt;0,ROUND(C47,4)=C47,ISNUMBER(E47),E47&gt;=0,ROUND(E47,2)=E47,ISNUMBER(F47),F47=INT(F47),F47&gt;=1,F47&lt;=366,C47*10000*E47*100*F47&lt;=9007199254740991),"Готово","Ошибка")),"Ошибка")</f>
        <v/>
      </c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8" t="str">
        <f aca="false">IFERROR(IF(I48="Готово",ROUND(ROUND(C48*10000,0)*ROUND(E48*100,0)*F48/10000,0)/100,""),"")</f>
        <v/>
      </c>
      <c r="H48" s="4"/>
      <c r="I48" s="5" t="str">
        <f aca="false">IFERROR(IF(COUNTA(A48:F48,H48)=0,"",IF(AND(OR(A48="Управление (без содержания)",A48="Содержание общего имущества",A48="Накопления (отдельный план)",A48="Целевые сборы (отдельный план)"),B48&lt;&gt;"",D48&lt;&gt;"",H48&lt;&gt;"",ISNUMBER(C48),C48&gt;0,ROUND(C48,4)=C48,ISNUMBER(E48),E48&gt;=0,ROUND(E48,2)=E48,ISNUMBER(F48),F48=INT(F48),F48&gt;=1,F48&lt;=366,C48*10000*E48*100*F48&lt;=9007199254740991),"Готово","Ошибка")),"Ошибка")</f>
        <v/>
      </c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8" t="str">
        <f aca="false">IFERROR(IF(I49="Готово",ROUND(ROUND(C49*10000,0)*ROUND(E49*100,0)*F49/10000,0)/100,""),"")</f>
        <v/>
      </c>
      <c r="H49" s="4"/>
      <c r="I49" s="5" t="str">
        <f aca="false">IFERROR(IF(COUNTA(A49:F49,H49)=0,"",IF(AND(OR(A49="Управление (без содержания)",A49="Содержание общего имущества",A49="Накопления (отдельный план)",A49="Целевые сборы (отдельный план)"),B49&lt;&gt;"",D49&lt;&gt;"",H49&lt;&gt;"",ISNUMBER(C49),C49&gt;0,ROUND(C49,4)=C49,ISNUMBER(E49),E49&gt;=0,ROUND(E49,2)=E49,ISNUMBER(F49),F49=INT(F49),F49&gt;=1,F49&lt;=366,C49*10000*E49*100*F49&lt;=9007199254740991),"Готово","Ошибка")),"Ошибка")</f>
        <v/>
      </c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8" t="str">
        <f aca="false">IFERROR(IF(I50="Готово",ROUND(ROUND(C50*10000,0)*ROUND(E50*100,0)*F50/10000,0)/100,""),"")</f>
        <v/>
      </c>
      <c r="H50" s="4"/>
      <c r="I50" s="5" t="str">
        <f aca="false">IFERROR(IF(COUNTA(A50:F50,H50)=0,"",IF(AND(OR(A50="Управление (без содержания)",A50="Содержание общего имущества",A50="Накопления (отдельный план)",A50="Целевые сборы (отдельный план)"),B50&lt;&gt;"",D50&lt;&gt;"",H50&lt;&gt;"",ISNUMBER(C50),C50&gt;0,ROUND(C50,4)=C50,ISNUMBER(E50),E50&gt;=0,ROUND(E50,2)=E50,ISNUMBER(F50),F50=INT(F50),F50&gt;=1,F50&lt;=366,C50*10000*E50*100*F50&lt;=9007199254740991),"Готово","Ошибка")),"Ошибка")</f>
        <v/>
      </c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8" t="str">
        <f aca="false">IFERROR(IF(I51="Готово",ROUND(ROUND(C51*10000,0)*ROUND(E51*100,0)*F51/10000,0)/100,""),"")</f>
        <v/>
      </c>
      <c r="H51" s="4"/>
      <c r="I51" s="5" t="str">
        <f aca="false">IFERROR(IF(COUNTA(A51:F51,H51)=0,"",IF(AND(OR(A51="Управление (без содержания)",A51="Содержание общего имущества",A51="Накопления (отдельный план)",A51="Целевые сборы (отдельный план)"),B51&lt;&gt;"",D51&lt;&gt;"",H51&lt;&gt;"",ISNUMBER(C51),C51&gt;0,ROUND(C51,4)=C51,ISNUMBER(E51),E51&gt;=0,ROUND(E51,2)=E51,ISNUMBER(F51),F51=INT(F51),F51&gt;=1,F51&lt;=366,C51*10000*E51*100*F51&lt;=9007199254740991),"Готово","Ошибка")),"Ошибка")</f>
        <v/>
      </c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8" t="str">
        <f aca="false">IFERROR(IF(I52="Готово",ROUND(ROUND(C52*10000,0)*ROUND(E52*100,0)*F52/10000,0)/100,""),"")</f>
        <v/>
      </c>
      <c r="H52" s="4"/>
      <c r="I52" s="5" t="str">
        <f aca="false">IFERROR(IF(COUNTA(A52:F52,H52)=0,"",IF(AND(OR(A52="Управление (без содержания)",A52="Содержание общего имущества",A52="Накопления (отдельный план)",A52="Целевые сборы (отдельный план)"),B52&lt;&gt;"",D52&lt;&gt;"",H52&lt;&gt;"",ISNUMBER(C52),C52&gt;0,ROUND(C52,4)=C52,ISNUMBER(E52),E52&gt;=0,ROUND(E52,2)=E52,ISNUMBER(F52),F52=INT(F52),F52&gt;=1,F52&lt;=366,C52*10000*E52*100*F52&lt;=9007199254740991),"Готово","Ошибка")),"Ошибка")</f>
        <v/>
      </c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8" t="str">
        <f aca="false">IFERROR(IF(I53="Готово",ROUND(ROUND(C53*10000,0)*ROUND(E53*100,0)*F53/10000,0)/100,""),"")</f>
        <v/>
      </c>
      <c r="H53" s="4"/>
      <c r="I53" s="5" t="str">
        <f aca="false">IFERROR(IF(COUNTA(A53:F53,H53)=0,"",IF(AND(OR(A53="Управление (без содержания)",A53="Содержание общего имущества",A53="Накопления (отдельный план)",A53="Целевые сборы (отдельный план)"),B53&lt;&gt;"",D53&lt;&gt;"",H53&lt;&gt;"",ISNUMBER(C53),C53&gt;0,ROUND(C53,4)=C53,ISNUMBER(E53),E53&gt;=0,ROUND(E53,2)=E53,ISNUMBER(F53),F53=INT(F53),F53&gt;=1,F53&lt;=366,C53*10000*E53*100*F53&lt;=9007199254740991),"Готово","Ошибка")),"Ошибка")</f>
        <v/>
      </c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8" t="str">
        <f aca="false">IFERROR(IF(I54="Готово",ROUND(ROUND(C54*10000,0)*ROUND(E54*100,0)*F54/10000,0)/100,""),"")</f>
        <v/>
      </c>
      <c r="H54" s="4"/>
      <c r="I54" s="5" t="str">
        <f aca="false">IFERROR(IF(COUNTA(A54:F54,H54)=0,"",IF(AND(OR(A54="Управление (без содержания)",A54="Содержание общего имущества",A54="Накопления (отдельный план)",A54="Целевые сборы (отдельный план)"),B54&lt;&gt;"",D54&lt;&gt;"",H54&lt;&gt;"",ISNUMBER(C54),C54&gt;0,ROUND(C54,4)=C54,ISNUMBER(E54),E54&gt;=0,ROUND(E54,2)=E54,ISNUMBER(F54),F54=INT(F54),F54&gt;=1,F54&lt;=366,C54*10000*E54*100*F54&lt;=9007199254740991),"Готово","Ошибка")),"Ошибка")</f>
        <v/>
      </c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8" t="str">
        <f aca="false">IFERROR(IF(I55="Готово",ROUND(ROUND(C55*10000,0)*ROUND(E55*100,0)*F55/10000,0)/100,""),"")</f>
        <v/>
      </c>
      <c r="H55" s="4"/>
      <c r="I55" s="5" t="str">
        <f aca="false">IFERROR(IF(COUNTA(A55:F55,H55)=0,"",IF(AND(OR(A55="Управление (без содержания)",A55="Содержание общего имущества",A55="Накопления (отдельный план)",A55="Целевые сборы (отдельный план)"),B55&lt;&gt;"",D55&lt;&gt;"",H55&lt;&gt;"",ISNUMBER(C55),C55&gt;0,ROUND(C55,4)=C55,ISNUMBER(E55),E55&gt;=0,ROUND(E55,2)=E55,ISNUMBER(F55),F55=INT(F55),F55&gt;=1,F55&lt;=366,C55*10000*E55*100*F55&lt;=9007199254740991),"Готово","Ошибка")),"Ошибка")</f>
        <v/>
      </c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8" t="str">
        <f aca="false">IFERROR(IF(I56="Готово",ROUND(ROUND(C56*10000,0)*ROUND(E56*100,0)*F56/10000,0)/100,""),"")</f>
        <v/>
      </c>
      <c r="H56" s="4"/>
      <c r="I56" s="5" t="str">
        <f aca="false">IFERROR(IF(COUNTA(A56:F56,H56)=0,"",IF(AND(OR(A56="Управление (без содержания)",A56="Содержание общего имущества",A56="Накопления (отдельный план)",A56="Целевые сборы (отдельный план)"),B56&lt;&gt;"",D56&lt;&gt;"",H56&lt;&gt;"",ISNUMBER(C56),C56&gt;0,ROUND(C56,4)=C56,ISNUMBER(E56),E56&gt;=0,ROUND(E56,2)=E56,ISNUMBER(F56),F56=INT(F56),F56&gt;=1,F56&lt;=366,C56*10000*E56*100*F56&lt;=9007199254740991),"Готово","Ошибка")),"Ошибка")</f>
        <v/>
      </c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8" t="str">
        <f aca="false">IFERROR(IF(I57="Готово",ROUND(ROUND(C57*10000,0)*ROUND(E57*100,0)*F57/10000,0)/100,""),"")</f>
        <v/>
      </c>
      <c r="H57" s="4"/>
      <c r="I57" s="5" t="str">
        <f aca="false">IFERROR(IF(COUNTA(A57:F57,H57)=0,"",IF(AND(OR(A57="Управление (без содержания)",A57="Содержание общего имущества",A57="Накопления (отдельный план)",A57="Целевые сборы (отдельный план)"),B57&lt;&gt;"",D57&lt;&gt;"",H57&lt;&gt;"",ISNUMBER(C57),C57&gt;0,ROUND(C57,4)=C57,ISNUMBER(E57),E57&gt;=0,ROUND(E57,2)=E57,ISNUMBER(F57),F57=INT(F57),F57&gt;=1,F57&lt;=366,C57*10000*E57*100*F57&lt;=9007199254740991),"Готово","Ошибка")),"Ошибка")</f>
        <v/>
      </c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8" t="str">
        <f aca="false">IFERROR(IF(I58="Готово",ROUND(ROUND(C58*10000,0)*ROUND(E58*100,0)*F58/10000,0)/100,""),"")</f>
        <v/>
      </c>
      <c r="H58" s="4"/>
      <c r="I58" s="5" t="str">
        <f aca="false">IFERROR(IF(COUNTA(A58:F58,H58)=0,"",IF(AND(OR(A58="Управление (без содержания)",A58="Содержание общего имущества",A58="Накопления (отдельный план)",A58="Целевые сборы (отдельный план)"),B58&lt;&gt;"",D58&lt;&gt;"",H58&lt;&gt;"",ISNUMBER(C58),C58&gt;0,ROUND(C58,4)=C58,ISNUMBER(E58),E58&gt;=0,ROUND(E58,2)=E58,ISNUMBER(F58),F58=INT(F58),F58&gt;=1,F58&lt;=366,C58*10000*E58*100*F58&lt;=9007199254740991),"Готово","Ошибка")),"Ошибка")</f>
        <v/>
      </c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8" t="str">
        <f aca="false">IFERROR(IF(I59="Готово",ROUND(ROUND(C59*10000,0)*ROUND(E59*100,0)*F59/10000,0)/100,""),"")</f>
        <v/>
      </c>
      <c r="H59" s="4"/>
      <c r="I59" s="5" t="str">
        <f aca="false">IFERROR(IF(COUNTA(A59:F59,H59)=0,"",IF(AND(OR(A59="Управление (без содержания)",A59="Содержание общего имущества",A59="Накопления (отдельный план)",A59="Целевые сборы (отдельный план)"),B59&lt;&gt;"",D59&lt;&gt;"",H59&lt;&gt;"",ISNUMBER(C59),C59&gt;0,ROUND(C59,4)=C59,ISNUMBER(E59),E59&gt;=0,ROUND(E59,2)=E59,ISNUMBER(F59),F59=INT(F59),F59&gt;=1,F59&lt;=366,C59*10000*E59*100*F59&lt;=9007199254740991),"Готово","Ошибка")),"Ошибка")</f>
        <v/>
      </c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8" t="str">
        <f aca="false">IFERROR(IF(I60="Готово",ROUND(ROUND(C60*10000,0)*ROUND(E60*100,0)*F60/10000,0)/100,""),"")</f>
        <v/>
      </c>
      <c r="H60" s="4"/>
      <c r="I60" s="5" t="str">
        <f aca="false">IFERROR(IF(COUNTA(A60:F60,H60)=0,"",IF(AND(OR(A60="Управление (без содержания)",A60="Содержание общего имущества",A60="Накопления (отдельный план)",A60="Целевые сборы (отдельный план)"),B60&lt;&gt;"",D60&lt;&gt;"",H60&lt;&gt;"",ISNUMBER(C60),C60&gt;0,ROUND(C60,4)=C60,ISNUMBER(E60),E60&gt;=0,ROUND(E60,2)=E60,ISNUMBER(F60),F60=INT(F60),F60&gt;=1,F60&lt;=366,C60*10000*E60*100*F60&lt;=9007199254740991),"Готово","Ошибка")),"Ошибка")</f>
        <v/>
      </c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8" t="str">
        <f aca="false">IFERROR(IF(I61="Готово",ROUND(ROUND(C61*10000,0)*ROUND(E61*100,0)*F61/10000,0)/100,""),"")</f>
        <v/>
      </c>
      <c r="H61" s="4"/>
      <c r="I61" s="5" t="str">
        <f aca="false">IFERROR(IF(COUNTA(A61:F61,H61)=0,"",IF(AND(OR(A61="Управление (без содержания)",A61="Содержание общего имущества",A61="Накопления (отдельный план)",A61="Целевые сборы (отдельный план)"),B61&lt;&gt;"",D61&lt;&gt;"",H61&lt;&gt;"",ISNUMBER(C61),C61&gt;0,ROUND(C61,4)=C61,ISNUMBER(E61),E61&gt;=0,ROUND(E61,2)=E61,ISNUMBER(F61),F61=INT(F61),F61&gt;=1,F61&lt;=366,C61*10000*E61*100*F61&lt;=9007199254740991),"Готово","Ошибка")),"Ошибка")</f>
        <v/>
      </c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8" t="str">
        <f aca="false">IFERROR(IF(I62="Готово",ROUND(ROUND(C62*10000,0)*ROUND(E62*100,0)*F62/10000,0)/100,""),"")</f>
        <v/>
      </c>
      <c r="H62" s="4"/>
      <c r="I62" s="5" t="str">
        <f aca="false">IFERROR(IF(COUNTA(A62:F62,H62)=0,"",IF(AND(OR(A62="Управление (без содержания)",A62="Содержание общего имущества",A62="Накопления (отдельный план)",A62="Целевые сборы (отдельный план)"),B62&lt;&gt;"",D62&lt;&gt;"",H62&lt;&gt;"",ISNUMBER(C62),C62&gt;0,ROUND(C62,4)=C62,ISNUMBER(E62),E62&gt;=0,ROUND(E62,2)=E62,ISNUMBER(F62),F62=INT(F62),F62&gt;=1,F62&lt;=366,C62*10000*E62*100*F62&lt;=9007199254740991),"Готово","Ошибка")),"Ошибка")</f>
        <v/>
      </c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8" t="str">
        <f aca="false">IFERROR(IF(I63="Готово",ROUND(ROUND(C63*10000,0)*ROUND(E63*100,0)*F63/10000,0)/100,""),"")</f>
        <v/>
      </c>
      <c r="H63" s="4"/>
      <c r="I63" s="5" t="str">
        <f aca="false">IFERROR(IF(COUNTA(A63:F63,H63)=0,"",IF(AND(OR(A63="Управление (без содержания)",A63="Содержание общего имущества",A63="Накопления (отдельный план)",A63="Целевые сборы (отдельный план)"),B63&lt;&gt;"",D63&lt;&gt;"",H63&lt;&gt;"",ISNUMBER(C63),C63&gt;0,ROUND(C63,4)=C63,ISNUMBER(E63),E63&gt;=0,ROUND(E63,2)=E63,ISNUMBER(F63),F63=INT(F63),F63&gt;=1,F63&lt;=366,C63*10000*E63*100*F63&lt;=9007199254740991),"Готово","Ошибка")),"Ошибка")</f>
        <v/>
      </c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8" t="str">
        <f aca="false">IFERROR(IF(I64="Готово",ROUND(ROUND(C64*10000,0)*ROUND(E64*100,0)*F64/10000,0)/100,""),"")</f>
        <v/>
      </c>
      <c r="H64" s="4"/>
      <c r="I64" s="5" t="str">
        <f aca="false">IFERROR(IF(COUNTA(A64:F64,H64)=0,"",IF(AND(OR(A64="Управление (без содержания)",A64="Содержание общего имущества",A64="Накопления (отдельный план)",A64="Целевые сборы (отдельный план)"),B64&lt;&gt;"",D64&lt;&gt;"",H64&lt;&gt;"",ISNUMBER(C64),C64&gt;0,ROUND(C64,4)=C64,ISNUMBER(E64),E64&gt;=0,ROUND(E64,2)=E64,ISNUMBER(F64),F64=INT(F64),F64&gt;=1,F64&lt;=366,C64*10000*E64*100*F64&lt;=9007199254740991),"Готово","Ошибка")),"Ошибка")</f>
        <v/>
      </c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8" t="str">
        <f aca="false">IFERROR(IF(I65="Готово",ROUND(ROUND(C65*10000,0)*ROUND(E65*100,0)*F65/10000,0)/100,""),"")</f>
        <v/>
      </c>
      <c r="H65" s="4"/>
      <c r="I65" s="5" t="str">
        <f aca="false">IFERROR(IF(COUNTA(A65:F65,H65)=0,"",IF(AND(OR(A65="Управление (без содержания)",A65="Содержание общего имущества",A65="Накопления (отдельный план)",A65="Целевые сборы (отдельный план)"),B65&lt;&gt;"",D65&lt;&gt;"",H65&lt;&gt;"",ISNUMBER(C65),C65&gt;0,ROUND(C65,4)=C65,ISNUMBER(E65),E65&gt;=0,ROUND(E65,2)=E65,ISNUMBER(F65),F65=INT(F65),F65&gt;=1,F65&lt;=366,C65*10000*E65*100*F65&lt;=9007199254740991),"Готово","Ошибка")),"Ошибка")</f>
        <v/>
      </c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8" t="str">
        <f aca="false">IFERROR(IF(I66="Готово",ROUND(ROUND(C66*10000,0)*ROUND(E66*100,0)*F66/10000,0)/100,""),"")</f>
        <v/>
      </c>
      <c r="H66" s="4"/>
      <c r="I66" s="5" t="str">
        <f aca="false">IFERROR(IF(COUNTA(A66:F66,H66)=0,"",IF(AND(OR(A66="Управление (без содержания)",A66="Содержание общего имущества",A66="Накопления (отдельный план)",A66="Целевые сборы (отдельный план)"),B66&lt;&gt;"",D66&lt;&gt;"",H66&lt;&gt;"",ISNUMBER(C66),C66&gt;0,ROUND(C66,4)=C66,ISNUMBER(E66),E66&gt;=0,ROUND(E66,2)=E66,ISNUMBER(F66),F66=INT(F66),F66&gt;=1,F66&lt;=366,C66*10000*E66*100*F66&lt;=9007199254740991),"Готово","Ошибка")),"Ошибка")</f>
        <v/>
      </c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8" t="str">
        <f aca="false">IFERROR(IF(I67="Готово",ROUND(ROUND(C67*10000,0)*ROUND(E67*100,0)*F67/10000,0)/100,""),"")</f>
        <v/>
      </c>
      <c r="H67" s="4"/>
      <c r="I67" s="5" t="str">
        <f aca="false">IFERROR(IF(COUNTA(A67:F67,H67)=0,"",IF(AND(OR(A67="Управление (без содержания)",A67="Содержание общего имущества",A67="Накопления (отдельный план)",A67="Целевые сборы (отдельный план)"),B67&lt;&gt;"",D67&lt;&gt;"",H67&lt;&gt;"",ISNUMBER(C67),C67&gt;0,ROUND(C67,4)=C67,ISNUMBER(E67),E67&gt;=0,ROUND(E67,2)=E67,ISNUMBER(F67),F67=INT(F67),F67&gt;=1,F67&lt;=366,C67*10000*E67*100*F67&lt;=9007199254740991),"Готово","Ошибка")),"Ошибка")</f>
        <v/>
      </c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8" t="str">
        <f aca="false">IFERROR(IF(I68="Готово",ROUND(ROUND(C68*10000,0)*ROUND(E68*100,0)*F68/10000,0)/100,""),"")</f>
        <v/>
      </c>
      <c r="H68" s="4"/>
      <c r="I68" s="5" t="str">
        <f aca="false">IFERROR(IF(COUNTA(A68:F68,H68)=0,"",IF(AND(OR(A68="Управление (без содержания)",A68="Содержание общего имущества",A68="Накопления (отдельный план)",A68="Целевые сборы (отдельный план)"),B68&lt;&gt;"",D68&lt;&gt;"",H68&lt;&gt;"",ISNUMBER(C68),C68&gt;0,ROUND(C68,4)=C68,ISNUMBER(E68),E68&gt;=0,ROUND(E68,2)=E68,ISNUMBER(F68),F68=INT(F68),F68&gt;=1,F68&lt;=366,C68*10000*E68*100*F68&lt;=9007199254740991),"Готово","Ошибка")),"Ошибка")</f>
        <v/>
      </c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8" t="str">
        <f aca="false">IFERROR(IF(I69="Готово",ROUND(ROUND(C69*10000,0)*ROUND(E69*100,0)*F69/10000,0)/100,""),"")</f>
        <v/>
      </c>
      <c r="H69" s="4"/>
      <c r="I69" s="5" t="str">
        <f aca="false">IFERROR(IF(COUNTA(A69:F69,H69)=0,"",IF(AND(OR(A69="Управление (без содержания)",A69="Содержание общего имущества",A69="Накопления (отдельный план)",A69="Целевые сборы (отдельный план)"),B69&lt;&gt;"",D69&lt;&gt;"",H69&lt;&gt;"",ISNUMBER(C69),C69&gt;0,ROUND(C69,4)=C69,ISNUMBER(E69),E69&gt;=0,ROUND(E69,2)=E69,ISNUMBER(F69),F69=INT(F69),F69&gt;=1,F69&lt;=366,C69*10000*E69*100*F69&lt;=9007199254740991),"Готово","Ошибка")),"Ошибка")</f>
        <v/>
      </c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8" t="str">
        <f aca="false">IFERROR(IF(I70="Готово",ROUND(ROUND(C70*10000,0)*ROUND(E70*100,0)*F70/10000,0)/100,""),"")</f>
        <v/>
      </c>
      <c r="H70" s="4"/>
      <c r="I70" s="5" t="str">
        <f aca="false">IFERROR(IF(COUNTA(A70:F70,H70)=0,"",IF(AND(OR(A70="Управление (без содержания)",A70="Содержание общего имущества",A70="Накопления (отдельный план)",A70="Целевые сборы (отдельный план)"),B70&lt;&gt;"",D70&lt;&gt;"",H70&lt;&gt;"",ISNUMBER(C70),C70&gt;0,ROUND(C70,4)=C70,ISNUMBER(E70),E70&gt;=0,ROUND(E70,2)=E70,ISNUMBER(F70),F70=INT(F70),F70&gt;=1,F70&lt;=366,C70*10000*E70*100*F70&lt;=9007199254740991),"Готово","Ошибка")),"Ошибка")</f>
        <v/>
      </c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8" t="str">
        <f aca="false">IFERROR(IF(I71="Готово",ROUND(ROUND(C71*10000,0)*ROUND(E71*100,0)*F71/10000,0)/100,""),"")</f>
        <v/>
      </c>
      <c r="H71" s="4"/>
      <c r="I71" s="5" t="str">
        <f aca="false">IFERROR(IF(COUNTA(A71:F71,H71)=0,"",IF(AND(OR(A71="Управление (без содержания)",A71="Содержание общего имущества",A71="Накопления (отдельный план)",A71="Целевые сборы (отдельный план)"),B71&lt;&gt;"",D71&lt;&gt;"",H71&lt;&gt;"",ISNUMBER(C71),C71&gt;0,ROUND(C71,4)=C71,ISNUMBER(E71),E71&gt;=0,ROUND(E71,2)=E71,ISNUMBER(F71),F71=INT(F71),F71&gt;=1,F71&lt;=366,C71*10000*E71*100*F71&lt;=9007199254740991),"Готово","Ошибка")),"Ошибка")</f>
        <v/>
      </c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8" t="str">
        <f aca="false">IFERROR(IF(I72="Готово",ROUND(ROUND(C72*10000,0)*ROUND(E72*100,0)*F72/10000,0)/100,""),"")</f>
        <v/>
      </c>
      <c r="H72" s="4"/>
      <c r="I72" s="5" t="str">
        <f aca="false">IFERROR(IF(COUNTA(A72:F72,H72)=0,"",IF(AND(OR(A72="Управление (без содержания)",A72="Содержание общего имущества",A72="Накопления (отдельный план)",A72="Целевые сборы (отдельный план)"),B72&lt;&gt;"",D72&lt;&gt;"",H72&lt;&gt;"",ISNUMBER(C72),C72&gt;0,ROUND(C72,4)=C72,ISNUMBER(E72),E72&gt;=0,ROUND(E72,2)=E72,ISNUMBER(F72),F72=INT(F72),F72&gt;=1,F72&lt;=366,C72*10000*E72*100*F72&lt;=9007199254740991),"Готово","Ошибка")),"Ошибка")</f>
        <v/>
      </c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8" t="str">
        <f aca="false">IFERROR(IF(I73="Готово",ROUND(ROUND(C73*10000,0)*ROUND(E73*100,0)*F73/10000,0)/100,""),"")</f>
        <v/>
      </c>
      <c r="H73" s="4"/>
      <c r="I73" s="5" t="str">
        <f aca="false">IFERROR(IF(COUNTA(A73:F73,H73)=0,"",IF(AND(OR(A73="Управление (без содержания)",A73="Содержание общего имущества",A73="Накопления (отдельный план)",A73="Целевые сборы (отдельный план)"),B73&lt;&gt;"",D73&lt;&gt;"",H73&lt;&gt;"",ISNUMBER(C73),C73&gt;0,ROUND(C73,4)=C73,ISNUMBER(E73),E73&gt;=0,ROUND(E73,2)=E73,ISNUMBER(F73),F73=INT(F73),F73&gt;=1,F73&lt;=366,C73*10000*E73*100*F73&lt;=9007199254740991),"Готово","Ошибка")),"Ошибка")</f>
        <v/>
      </c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8" t="str">
        <f aca="false">IFERROR(IF(I74="Готово",ROUND(ROUND(C74*10000,0)*ROUND(E74*100,0)*F74/10000,0)/100,""),"")</f>
        <v/>
      </c>
      <c r="H74" s="4"/>
      <c r="I74" s="5" t="str">
        <f aca="false">IFERROR(IF(COUNTA(A74:F74,H74)=0,"",IF(AND(OR(A74="Управление (без содержания)",A74="Содержание общего имущества",A74="Накопления (отдельный план)",A74="Целевые сборы (отдельный план)"),B74&lt;&gt;"",D74&lt;&gt;"",H74&lt;&gt;"",ISNUMBER(C74),C74&gt;0,ROUND(C74,4)=C74,ISNUMBER(E74),E74&gt;=0,ROUND(E74,2)=E74,ISNUMBER(F74),F74=INT(F74),F74&gt;=1,F74&lt;=366,C74*10000*E74*100*F74&lt;=9007199254740991),"Готово","Ошибка")),"Ошибка")</f>
        <v/>
      </c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8" t="str">
        <f aca="false">IFERROR(IF(I75="Готово",ROUND(ROUND(C75*10000,0)*ROUND(E75*100,0)*F75/10000,0)/100,""),"")</f>
        <v/>
      </c>
      <c r="H75" s="4"/>
      <c r="I75" s="5" t="str">
        <f aca="false">IFERROR(IF(COUNTA(A75:F75,H75)=0,"",IF(AND(OR(A75="Управление (без содержания)",A75="Содержание общего имущества",A75="Накопления (отдельный план)",A75="Целевые сборы (отдельный план)"),B75&lt;&gt;"",D75&lt;&gt;"",H75&lt;&gt;"",ISNUMBER(C75),C75&gt;0,ROUND(C75,4)=C75,ISNUMBER(E75),E75&gt;=0,ROUND(E75,2)=E75,ISNUMBER(F75),F75=INT(F75),F75&gt;=1,F75&lt;=366,C75*10000*E75*100*F75&lt;=9007199254740991),"Готово","Ошибка")),"Ошибка")</f>
        <v/>
      </c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8" t="str">
        <f aca="false">IFERROR(IF(I76="Готово",ROUND(ROUND(C76*10000,0)*ROUND(E76*100,0)*F76/10000,0)/100,""),"")</f>
        <v/>
      </c>
      <c r="H76" s="4"/>
      <c r="I76" s="5" t="str">
        <f aca="false">IFERROR(IF(COUNTA(A76:F76,H76)=0,"",IF(AND(OR(A76="Управление (без содержания)",A76="Содержание общего имущества",A76="Накопления (отдельный план)",A76="Целевые сборы (отдельный план)"),B76&lt;&gt;"",D76&lt;&gt;"",H76&lt;&gt;"",ISNUMBER(C76),C76&gt;0,ROUND(C76,4)=C76,ISNUMBER(E76),E76&gt;=0,ROUND(E76,2)=E76,ISNUMBER(F76),F76=INT(F76),F76&gt;=1,F76&lt;=366,C76*10000*E76*100*F76&lt;=9007199254740991),"Готово","Ошибка")),"Ошибка")</f>
        <v/>
      </c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8" t="str">
        <f aca="false">IFERROR(IF(I77="Готово",ROUND(ROUND(C77*10000,0)*ROUND(E77*100,0)*F77/10000,0)/100,""),"")</f>
        <v/>
      </c>
      <c r="H77" s="4"/>
      <c r="I77" s="5" t="str">
        <f aca="false">IFERROR(IF(COUNTA(A77:F77,H77)=0,"",IF(AND(OR(A77="Управление (без содержания)",A77="Содержание общего имущества",A77="Накопления (отдельный план)",A77="Целевые сборы (отдельный план)"),B77&lt;&gt;"",D77&lt;&gt;"",H77&lt;&gt;"",ISNUMBER(C77),C77&gt;0,ROUND(C77,4)=C77,ISNUMBER(E77),E77&gt;=0,ROUND(E77,2)=E77,ISNUMBER(F77),F77=INT(F77),F77&gt;=1,F77&lt;=366,C77*10000*E77*100*F77&lt;=9007199254740991),"Готово","Ошибка")),"Ошибка")</f>
        <v/>
      </c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8" t="str">
        <f aca="false">IFERROR(IF(I78="Готово",ROUND(ROUND(C78*10000,0)*ROUND(E78*100,0)*F78/10000,0)/100,""),"")</f>
        <v/>
      </c>
      <c r="H78" s="4"/>
      <c r="I78" s="5" t="str">
        <f aca="false">IFERROR(IF(COUNTA(A78:F78,H78)=0,"",IF(AND(OR(A78="Управление (без содержания)",A78="Содержание общего имущества",A78="Накопления (отдельный план)",A78="Целевые сборы (отдельный план)"),B78&lt;&gt;"",D78&lt;&gt;"",H78&lt;&gt;"",ISNUMBER(C78),C78&gt;0,ROUND(C78,4)=C78,ISNUMBER(E78),E78&gt;=0,ROUND(E78,2)=E78,ISNUMBER(F78),F78=INT(F78),F78&gt;=1,F78&lt;=366,C78*10000*E78*100*F78&lt;=9007199254740991),"Готово","Ошибка")),"Ошибка")</f>
        <v/>
      </c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8" t="str">
        <f aca="false">IFERROR(IF(I79="Готово",ROUND(ROUND(C79*10000,0)*ROUND(E79*100,0)*F79/10000,0)/100,""),"")</f>
        <v/>
      </c>
      <c r="H79" s="4"/>
      <c r="I79" s="5" t="str">
        <f aca="false">IFERROR(IF(COUNTA(A79:F79,H79)=0,"",IF(AND(OR(A79="Управление (без содержания)",A79="Содержание общего имущества",A79="Накопления (отдельный план)",A79="Целевые сборы (отдельный план)"),B79&lt;&gt;"",D79&lt;&gt;"",H79&lt;&gt;"",ISNUMBER(C79),C79&gt;0,ROUND(C79,4)=C79,ISNUMBER(E79),E79&gt;=0,ROUND(E79,2)=E79,ISNUMBER(F79),F79=INT(F79),F79&gt;=1,F79&lt;=366,C79*10000*E79*100*F79&lt;=9007199254740991),"Готово","Ошибка")),"Ошибка")</f>
        <v/>
      </c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8" t="str">
        <f aca="false">IFERROR(IF(I80="Готово",ROUND(ROUND(C80*10000,0)*ROUND(E80*100,0)*F80/10000,0)/100,""),"")</f>
        <v/>
      </c>
      <c r="H80" s="4"/>
      <c r="I80" s="5" t="str">
        <f aca="false">IFERROR(IF(COUNTA(A80:F80,H80)=0,"",IF(AND(OR(A80="Управление (без содержания)",A80="Содержание общего имущества",A80="Накопления (отдельный план)",A80="Целевые сборы (отдельный план)"),B80&lt;&gt;"",D80&lt;&gt;"",H80&lt;&gt;"",ISNUMBER(C80),C80&gt;0,ROUND(C80,4)=C80,ISNUMBER(E80),E80&gt;=0,ROUND(E80,2)=E80,ISNUMBER(F80),F80=INT(F80),F80&gt;=1,F80&lt;=366,C80*10000*E80*100*F80&lt;=9007199254740991),"Готово","Ошибка")),"Ошибка")</f>
        <v/>
      </c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8" t="str">
        <f aca="false">IFERROR(IF(I81="Готово",ROUND(ROUND(C81*10000,0)*ROUND(E81*100,0)*F81/10000,0)/100,""),"")</f>
        <v/>
      </c>
      <c r="H81" s="4"/>
      <c r="I81" s="5" t="str">
        <f aca="false">IFERROR(IF(COUNTA(A81:F81,H81)=0,"",IF(AND(OR(A81="Управление (без содержания)",A81="Содержание общего имущества",A81="Накопления (отдельный план)",A81="Целевые сборы (отдельный план)"),B81&lt;&gt;"",D81&lt;&gt;"",H81&lt;&gt;"",ISNUMBER(C81),C81&gt;0,ROUND(C81,4)=C81,ISNUMBER(E81),E81&gt;=0,ROUND(E81,2)=E81,ISNUMBER(F81),F81=INT(F81),F81&gt;=1,F81&lt;=366,C81*10000*E81*100*F81&lt;=9007199254740991),"Готово","Ошибка")),"Ошибка")</f>
        <v/>
      </c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8" t="str">
        <f aca="false">IFERROR(IF(I82="Готово",ROUND(ROUND(C82*10000,0)*ROUND(E82*100,0)*F82/10000,0)/100,""),"")</f>
        <v/>
      </c>
      <c r="H82" s="4"/>
      <c r="I82" s="5" t="str">
        <f aca="false">IFERROR(IF(COUNTA(A82:F82,H82)=0,"",IF(AND(OR(A82="Управление (без содержания)",A82="Содержание общего имущества",A82="Накопления (отдельный план)",A82="Целевые сборы (отдельный план)"),B82&lt;&gt;"",D82&lt;&gt;"",H82&lt;&gt;"",ISNUMBER(C82),C82&gt;0,ROUND(C82,4)=C82,ISNUMBER(E82),E82&gt;=0,ROUND(E82,2)=E82,ISNUMBER(F82),F82=INT(F82),F82&gt;=1,F82&lt;=366,C82*10000*E82*100*F82&lt;=9007199254740991),"Готово","Ошибка")),"Ошибка")</f>
        <v/>
      </c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8" t="str">
        <f aca="false">IFERROR(IF(I83="Готово",ROUND(ROUND(C83*10000,0)*ROUND(E83*100,0)*F83/10000,0)/100,""),"")</f>
        <v/>
      </c>
      <c r="H83" s="4"/>
      <c r="I83" s="5" t="str">
        <f aca="false">IFERROR(IF(COUNTA(A83:F83,H83)=0,"",IF(AND(OR(A83="Управление (без содержания)",A83="Содержание общего имущества",A83="Накопления (отдельный план)",A83="Целевые сборы (отдельный план)"),B83&lt;&gt;"",D83&lt;&gt;"",H83&lt;&gt;"",ISNUMBER(C83),C83&gt;0,ROUND(C83,4)=C83,ISNUMBER(E83),E83&gt;=0,ROUND(E83,2)=E83,ISNUMBER(F83),F83=INT(F83),F83&gt;=1,F83&lt;=366,C83*10000*E83*100*F83&lt;=9007199254740991),"Готово","Ошибка")),"Ошибка")</f>
        <v/>
      </c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8" t="str">
        <f aca="false">IFERROR(IF(I84="Готово",ROUND(ROUND(C84*10000,0)*ROUND(E84*100,0)*F84/10000,0)/100,""),"")</f>
        <v/>
      </c>
      <c r="H84" s="4"/>
      <c r="I84" s="5" t="str">
        <f aca="false">IFERROR(IF(COUNTA(A84:F84,H84)=0,"",IF(AND(OR(A84="Управление (без содержания)",A84="Содержание общего имущества",A84="Накопления (отдельный план)",A84="Целевые сборы (отдельный план)"),B84&lt;&gt;"",D84&lt;&gt;"",H84&lt;&gt;"",ISNUMBER(C84),C84&gt;0,ROUND(C84,4)=C84,ISNUMBER(E84),E84&gt;=0,ROUND(E84,2)=E84,ISNUMBER(F84),F84=INT(F84),F84&gt;=1,F84&lt;=366,C84*10000*E84*100*F84&lt;=9007199254740991),"Готово","Ошибка")),"Ошибка")</f>
        <v/>
      </c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8" t="str">
        <f aca="false">IFERROR(IF(I85="Готово",ROUND(ROUND(C85*10000,0)*ROUND(E85*100,0)*F85/10000,0)/100,""),"")</f>
        <v/>
      </c>
      <c r="H85" s="4"/>
      <c r="I85" s="5" t="str">
        <f aca="false">IFERROR(IF(COUNTA(A85:F85,H85)=0,"",IF(AND(OR(A85="Управление (без содержания)",A85="Содержание общего имущества",A85="Накопления (отдельный план)",A85="Целевые сборы (отдельный план)"),B85&lt;&gt;"",D85&lt;&gt;"",H85&lt;&gt;"",ISNUMBER(C85),C85&gt;0,ROUND(C85,4)=C85,ISNUMBER(E85),E85&gt;=0,ROUND(E85,2)=E85,ISNUMBER(F85),F85=INT(F85),F85&gt;=1,F85&lt;=366,C85*10000*E85*100*F85&lt;=9007199254740991),"Готово","Ошибка")),"Ошибка")</f>
        <v/>
      </c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8" t="str">
        <f aca="false">IFERROR(IF(I86="Готово",ROUND(ROUND(C86*10000,0)*ROUND(E86*100,0)*F86/10000,0)/100,""),"")</f>
        <v/>
      </c>
      <c r="H86" s="4"/>
      <c r="I86" s="5" t="str">
        <f aca="false">IFERROR(IF(COUNTA(A86:F86,H86)=0,"",IF(AND(OR(A86="Управление (без содержания)",A86="Содержание общего имущества",A86="Накопления (отдельный план)",A86="Целевые сборы (отдельный план)"),B86&lt;&gt;"",D86&lt;&gt;"",H86&lt;&gt;"",ISNUMBER(C86),C86&gt;0,ROUND(C86,4)=C86,ISNUMBER(E86),E86&gt;=0,ROUND(E86,2)=E86,ISNUMBER(F86),F86=INT(F86),F86&gt;=1,F86&lt;=366,C86*10000*E86*100*F86&lt;=9007199254740991),"Готово","Ошибка")),"Ошибка")</f>
        <v/>
      </c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8" t="str">
        <f aca="false">IFERROR(IF(I87="Готово",ROUND(ROUND(C87*10000,0)*ROUND(E87*100,0)*F87/10000,0)/100,""),"")</f>
        <v/>
      </c>
      <c r="H87" s="4"/>
      <c r="I87" s="5" t="str">
        <f aca="false">IFERROR(IF(COUNTA(A87:F87,H87)=0,"",IF(AND(OR(A87="Управление (без содержания)",A87="Содержание общего имущества",A87="Накопления (отдельный план)",A87="Целевые сборы (отдельный план)"),B87&lt;&gt;"",D87&lt;&gt;"",H87&lt;&gt;"",ISNUMBER(C87),C87&gt;0,ROUND(C87,4)=C87,ISNUMBER(E87),E87&gt;=0,ROUND(E87,2)=E87,ISNUMBER(F87),F87=INT(F87),F87&gt;=1,F87&lt;=366,C87*10000*E87*100*F87&lt;=9007199254740991),"Готово","Ошибка")),"Ошибка")</f>
        <v/>
      </c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8" t="str">
        <f aca="false">IFERROR(IF(I88="Готово",ROUND(ROUND(C88*10000,0)*ROUND(E88*100,0)*F88/10000,0)/100,""),"")</f>
        <v/>
      </c>
      <c r="H88" s="4"/>
      <c r="I88" s="5" t="str">
        <f aca="false">IFERROR(IF(COUNTA(A88:F88,H88)=0,"",IF(AND(OR(A88="Управление (без содержания)",A88="Содержание общего имущества",A88="Накопления (отдельный план)",A88="Целевые сборы (отдельный план)"),B88&lt;&gt;"",D88&lt;&gt;"",H88&lt;&gt;"",ISNUMBER(C88),C88&gt;0,ROUND(C88,4)=C88,ISNUMBER(E88),E88&gt;=0,ROUND(E88,2)=E88,ISNUMBER(F88),F88=INT(F88),F88&gt;=1,F88&lt;=366,C88*10000*E88*100*F88&lt;=9007199254740991),"Готово","Ошибка")),"Ошибка")</f>
        <v/>
      </c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8" t="str">
        <f aca="false">IFERROR(IF(I89="Готово",ROUND(ROUND(C89*10000,0)*ROUND(E89*100,0)*F89/10000,0)/100,""),"")</f>
        <v/>
      </c>
      <c r="H89" s="4"/>
      <c r="I89" s="5" t="str">
        <f aca="false">IFERROR(IF(COUNTA(A89:F89,H89)=0,"",IF(AND(OR(A89="Управление (без содержания)",A89="Содержание общего имущества",A89="Накопления (отдельный план)",A89="Целевые сборы (отдельный план)"),B89&lt;&gt;"",D89&lt;&gt;"",H89&lt;&gt;"",ISNUMBER(C89),C89&gt;0,ROUND(C89,4)=C89,ISNUMBER(E89),E89&gt;=0,ROUND(E89,2)=E89,ISNUMBER(F89),F89=INT(F89),F89&gt;=1,F89&lt;=366,C89*10000*E89*100*F89&lt;=9007199254740991),"Готово","Ошибка")),"Ошибка")</f>
        <v/>
      </c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8" t="str">
        <f aca="false">IFERROR(IF(I90="Готово",ROUND(ROUND(C90*10000,0)*ROUND(E90*100,0)*F90/10000,0)/100,""),"")</f>
        <v/>
      </c>
      <c r="H90" s="4"/>
      <c r="I90" s="5" t="str">
        <f aca="false">IFERROR(IF(COUNTA(A90:F90,H90)=0,"",IF(AND(OR(A90="Управление (без содержания)",A90="Содержание общего имущества",A90="Накопления (отдельный план)",A90="Целевые сборы (отдельный план)"),B90&lt;&gt;"",D90&lt;&gt;"",H90&lt;&gt;"",ISNUMBER(C90),C90&gt;0,ROUND(C90,4)=C90,ISNUMBER(E90),E90&gt;=0,ROUND(E90,2)=E90,ISNUMBER(F90),F90=INT(F90),F90&gt;=1,F90&lt;=366,C90*10000*E90*100*F90&lt;=9007199254740991),"Готово","Ошибка")),"Ошибка")</f>
        <v/>
      </c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8" t="str">
        <f aca="false">IFERROR(IF(I91="Готово",ROUND(ROUND(C91*10000,0)*ROUND(E91*100,0)*F91/10000,0)/100,""),"")</f>
        <v/>
      </c>
      <c r="H91" s="4"/>
      <c r="I91" s="5" t="str">
        <f aca="false">IFERROR(IF(COUNTA(A91:F91,H91)=0,"",IF(AND(OR(A91="Управление (без содержания)",A91="Содержание общего имущества",A91="Накопления (отдельный план)",A91="Целевые сборы (отдельный план)"),B91&lt;&gt;"",D91&lt;&gt;"",H91&lt;&gt;"",ISNUMBER(C91),C91&gt;0,ROUND(C91,4)=C91,ISNUMBER(E91),E91&gt;=0,ROUND(E91,2)=E91,ISNUMBER(F91),F91=INT(F91),F91&gt;=1,F91&lt;=366,C91*10000*E91*100*F91&lt;=9007199254740991),"Готово","Ошибка")),"Ошибка")</f>
        <v/>
      </c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8" t="str">
        <f aca="false">IFERROR(IF(I92="Готово",ROUND(ROUND(C92*10000,0)*ROUND(E92*100,0)*F92/10000,0)/100,""),"")</f>
        <v/>
      </c>
      <c r="H92" s="4"/>
      <c r="I92" s="5" t="str">
        <f aca="false">IFERROR(IF(COUNTA(A92:F92,H92)=0,"",IF(AND(OR(A92="Управление (без содержания)",A92="Содержание общего имущества",A92="Накопления (отдельный план)",A92="Целевые сборы (отдельный план)"),B92&lt;&gt;"",D92&lt;&gt;"",H92&lt;&gt;"",ISNUMBER(C92),C92&gt;0,ROUND(C92,4)=C92,ISNUMBER(E92),E92&gt;=0,ROUND(E92,2)=E92,ISNUMBER(F92),F92=INT(F92),F92&gt;=1,F92&lt;=366,C92*10000*E92*100*F92&lt;=9007199254740991),"Готово","Ошибка")),"Ошибка")</f>
        <v/>
      </c>
    </row>
    <row r="93" customFormat="false" ht="15" hidden="false" customHeight="false" outlineLevel="0" collapsed="false">
      <c r="A93" s="4"/>
      <c r="B93" s="4"/>
      <c r="C93" s="4"/>
      <c r="D93" s="4"/>
      <c r="E93" s="4"/>
      <c r="F93" s="4"/>
      <c r="G93" s="8" t="str">
        <f aca="false">IFERROR(IF(I93="Готово",ROUND(ROUND(C93*10000,0)*ROUND(E93*100,0)*F93/10000,0)/100,""),"")</f>
        <v/>
      </c>
      <c r="H93" s="4"/>
      <c r="I93" s="5" t="str">
        <f aca="false">IFERROR(IF(COUNTA(A93:F93,H93)=0,"",IF(AND(OR(A93="Управление (без содержания)",A93="Содержание общего имущества",A93="Накопления (отдельный план)",A93="Целевые сборы (отдельный план)"),B93&lt;&gt;"",D93&lt;&gt;"",H93&lt;&gt;"",ISNUMBER(C93),C93&gt;0,ROUND(C93,4)=C93,ISNUMBER(E93),E93&gt;=0,ROUND(E93,2)=E93,ISNUMBER(F93),F93=INT(F93),F93&gt;=1,F93&lt;=366,C93*10000*E93*100*F93&lt;=9007199254740991),"Готово","Ошибка")),"Ошибка")</f>
        <v/>
      </c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8" t="str">
        <f aca="false">IFERROR(IF(I94="Готово",ROUND(ROUND(C94*10000,0)*ROUND(E94*100,0)*F94/10000,0)/100,""),"")</f>
        <v/>
      </c>
      <c r="H94" s="4"/>
      <c r="I94" s="5" t="str">
        <f aca="false">IFERROR(IF(COUNTA(A94:F94,H94)=0,"",IF(AND(OR(A94="Управление (без содержания)",A94="Содержание общего имущества",A94="Накопления (отдельный план)",A94="Целевые сборы (отдельный план)"),B94&lt;&gt;"",D94&lt;&gt;"",H94&lt;&gt;"",ISNUMBER(C94),C94&gt;0,ROUND(C94,4)=C94,ISNUMBER(E94),E94&gt;=0,ROUND(E94,2)=E94,ISNUMBER(F94),F94=INT(F94),F94&gt;=1,F94&lt;=366,C94*10000*E94*100*F94&lt;=9007199254740991),"Готово","Ошибка")),"Ошибка")</f>
        <v/>
      </c>
    </row>
    <row r="95" customFormat="false" ht="15" hidden="false" customHeight="false" outlineLevel="0" collapsed="false">
      <c r="A95" s="4"/>
      <c r="B95" s="4"/>
      <c r="C95" s="4"/>
      <c r="D95" s="4"/>
      <c r="E95" s="4"/>
      <c r="F95" s="4"/>
      <c r="G95" s="8" t="str">
        <f aca="false">IFERROR(IF(I95="Готово",ROUND(ROUND(C95*10000,0)*ROUND(E95*100,0)*F95/10000,0)/100,""),"")</f>
        <v/>
      </c>
      <c r="H95" s="4"/>
      <c r="I95" s="5" t="str">
        <f aca="false">IFERROR(IF(COUNTA(A95:F95,H95)=0,"",IF(AND(OR(A95="Управление (без содержания)",A95="Содержание общего имущества",A95="Накопления (отдельный план)",A95="Целевые сборы (отдельный план)"),B95&lt;&gt;"",D95&lt;&gt;"",H95&lt;&gt;"",ISNUMBER(C95),C95&gt;0,ROUND(C95,4)=C95,ISNUMBER(E95),E95&gt;=0,ROUND(E95,2)=E95,ISNUMBER(F95),F95=INT(F95),F95&gt;=1,F95&lt;=366,C95*10000*E95*100*F95&lt;=9007199254740991),"Готово","Ошибка")),"Ошибка")</f>
        <v/>
      </c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  <c r="G96" s="8" t="str">
        <f aca="false">IFERROR(IF(I96="Готово",ROUND(ROUND(C96*10000,0)*ROUND(E96*100,0)*F96/10000,0)/100,""),"")</f>
        <v/>
      </c>
      <c r="H96" s="4"/>
      <c r="I96" s="5" t="str">
        <f aca="false">IFERROR(IF(COUNTA(A96:F96,H96)=0,"",IF(AND(OR(A96="Управление (без содержания)",A96="Содержание общего имущества",A96="Накопления (отдельный план)",A96="Целевые сборы (отдельный план)"),B96&lt;&gt;"",D96&lt;&gt;"",H96&lt;&gt;"",ISNUMBER(C96),C96&gt;0,ROUND(C96,4)=C96,ISNUMBER(E96),E96&gt;=0,ROUND(E96,2)=E96,ISNUMBER(F96),F96=INT(F96),F96&gt;=1,F96&lt;=366,C96*10000*E96*100*F96&lt;=9007199254740991),"Готово","Ошибка")),"Ошибка")</f>
        <v/>
      </c>
    </row>
    <row r="97" customFormat="false" ht="15" hidden="false" customHeight="false" outlineLevel="0" collapsed="false">
      <c r="A97" s="4"/>
      <c r="B97" s="4"/>
      <c r="C97" s="4"/>
      <c r="D97" s="4"/>
      <c r="E97" s="4"/>
      <c r="F97" s="4"/>
      <c r="G97" s="8" t="str">
        <f aca="false">IFERROR(IF(I97="Готово",ROUND(ROUND(C97*10000,0)*ROUND(E97*100,0)*F97/10000,0)/100,""),"")</f>
        <v/>
      </c>
      <c r="H97" s="4"/>
      <c r="I97" s="5" t="str">
        <f aca="false">IFERROR(IF(COUNTA(A97:F97,H97)=0,"",IF(AND(OR(A97="Управление (без содержания)",A97="Содержание общего имущества",A97="Накопления (отдельный план)",A97="Целевые сборы (отдельный план)"),B97&lt;&gt;"",D97&lt;&gt;"",H97&lt;&gt;"",ISNUMBER(C97),C97&gt;0,ROUND(C97,4)=C97,ISNUMBER(E97),E97&gt;=0,ROUND(E97,2)=E97,ISNUMBER(F97),F97=INT(F97),F97&gt;=1,F97&lt;=366,C97*10000*E97*100*F97&lt;=9007199254740991),"Готово","Ошибка")),"Ошибка")</f>
        <v/>
      </c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  <c r="G98" s="8" t="str">
        <f aca="false">IFERROR(IF(I98="Готово",ROUND(ROUND(C98*10000,0)*ROUND(E98*100,0)*F98/10000,0)/100,""),"")</f>
        <v/>
      </c>
      <c r="H98" s="4"/>
      <c r="I98" s="5" t="str">
        <f aca="false">IFERROR(IF(COUNTA(A98:F98,H98)=0,"",IF(AND(OR(A98="Управление (без содержания)",A98="Содержание общего имущества",A98="Накопления (отдельный план)",A98="Целевые сборы (отдельный план)"),B98&lt;&gt;"",D98&lt;&gt;"",H98&lt;&gt;"",ISNUMBER(C98),C98&gt;0,ROUND(C98,4)=C98,ISNUMBER(E98),E98&gt;=0,ROUND(E98,2)=E98,ISNUMBER(F98),F98=INT(F98),F98&gt;=1,F98&lt;=366,C98*10000*E98*100*F98&lt;=9007199254740991),"Готово","Ошибка")),"Ошибка")</f>
        <v/>
      </c>
    </row>
    <row r="99" customFormat="false" ht="15" hidden="false" customHeight="false" outlineLevel="0" collapsed="false">
      <c r="A99" s="4"/>
      <c r="B99" s="4"/>
      <c r="C99" s="4"/>
      <c r="D99" s="4"/>
      <c r="E99" s="4"/>
      <c r="F99" s="4"/>
      <c r="G99" s="8" t="str">
        <f aca="false">IFERROR(IF(I99="Готово",ROUND(ROUND(C99*10000,0)*ROUND(E99*100,0)*F99/10000,0)/100,""),"")</f>
        <v/>
      </c>
      <c r="H99" s="4"/>
      <c r="I99" s="5" t="str">
        <f aca="false">IFERROR(IF(COUNTA(A99:F99,H99)=0,"",IF(AND(OR(A99="Управление (без содержания)",A99="Содержание общего имущества",A99="Накопления (отдельный план)",A99="Целевые сборы (отдельный план)"),B99&lt;&gt;"",D99&lt;&gt;"",H99&lt;&gt;"",ISNUMBER(C99),C99&gt;0,ROUND(C99,4)=C99,ISNUMBER(E99),E99&gt;=0,ROUND(E99,2)=E99,ISNUMBER(F99),F99=INT(F99),F99&gt;=1,F99&lt;=366,C99*10000*E99*100*F99&lt;=9007199254740991),"Готово","Ошибка")),"Ошибка")</f>
        <v/>
      </c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8" t="str">
        <f aca="false">IFERROR(IF(I100="Готово",ROUND(ROUND(C100*10000,0)*ROUND(E100*100,0)*F100/10000,0)/100,""),"")</f>
        <v/>
      </c>
      <c r="H100" s="4"/>
      <c r="I100" s="5" t="str">
        <f aca="false">IFERROR(IF(COUNTA(A100:F100,H100)=0,"",IF(AND(OR(A100="Управление (без содержания)",A100="Содержание общего имущества",A100="Накопления (отдельный план)",A100="Целевые сборы (отдельный план)"),B100&lt;&gt;"",D100&lt;&gt;"",H100&lt;&gt;"",ISNUMBER(C100),C100&gt;0,ROUND(C100,4)=C100,ISNUMBER(E100),E100&gt;=0,ROUND(E100,2)=E100,ISNUMBER(F100),F100=INT(F100),F100&gt;=1,F100&lt;=366,C100*10000*E100*100*F100&lt;=9007199254740991),"Готово","Ошибка")),"Ошибка")</f>
        <v/>
      </c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4"/>
      <c r="G101" s="8" t="str">
        <f aca="false">IFERROR(IF(I101="Готово",ROUND(ROUND(C101*10000,0)*ROUND(E101*100,0)*F101/10000,0)/100,""),"")</f>
        <v/>
      </c>
      <c r="H101" s="4"/>
      <c r="I101" s="5" t="str">
        <f aca="false">IFERROR(IF(COUNTA(A101:F101,H101)=0,"",IF(AND(OR(A101="Управление (без содержания)",A101="Содержание общего имущества",A101="Накопления (отдельный план)",A101="Целевые сборы (отдельный план)"),B101&lt;&gt;"",D101&lt;&gt;"",H101&lt;&gt;"",ISNUMBER(C101),C101&gt;0,ROUND(C101,4)=C101,ISNUMBER(E101),E101&gt;=0,ROUND(E101,2)=E101,ISNUMBER(F101),F101=INT(F101),F101&gt;=1,F101&lt;=366,C101*10000*E101*100*F101&lt;=9007199254740991),"Готово","Ошибка")),"Ошибка")</f>
        <v/>
      </c>
    </row>
  </sheetData>
  <dataValidations count="1">
    <dataValidation allowBlank="true" error="Выберите раздел из списка" errorStyle="stop" operator="between" showDropDown="false" showErrorMessage="true" showInputMessage="false" sqref="A2:A101" type="list">
      <formula1>"Управление (без содержания),Содержание общего имущества,Накопления (отдельный план),Целевые сборы (отдельный план)"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0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5"/>
    <col collapsed="false" customWidth="true" hidden="false" outlineLevel="0" max="2" min="2" style="6" width="44"/>
  </cols>
  <sheetData>
    <row r="1" s="2" customFormat="true" ht="15" hidden="false" customHeight="false" outlineLevel="0" collapsed="false">
      <c r="A1" s="1" t="s">
        <v>44</v>
      </c>
      <c r="B1" s="7" t="s">
        <v>45</v>
      </c>
    </row>
    <row r="2" customFormat="false" ht="15" hidden="false" customHeight="false" outlineLevel="0" collapsed="false">
      <c r="A2" s="3" t="s">
        <v>38</v>
      </c>
      <c r="B2" s="8" t="n">
        <f aca="false">IFERROR(IF(COUNTIF('Статьи расходов'!I:I,"Ошибка")&gt;0,"",ROUND(SUMIF('Статьи расходов'!A:A,A2,'Статьи расходов'!G:G),2)),"Ошибка")</f>
        <v>0.34</v>
      </c>
    </row>
    <row r="3" customFormat="false" ht="15" hidden="false" customHeight="false" outlineLevel="0" collapsed="false">
      <c r="A3" s="3" t="s">
        <v>42</v>
      </c>
      <c r="B3" s="8" t="n">
        <f aca="false">IFERROR(IF(COUNTIF('Статьи расходов'!I:I,"Ошибка")&gt;0,"",ROUND(SUMIF('Статьи расходов'!A:A,A3,'Статьи расходов'!G:G),2)),"Ошибка")</f>
        <v>720</v>
      </c>
    </row>
    <row r="4" customFormat="false" ht="15" hidden="false" customHeight="false" outlineLevel="0" collapsed="false">
      <c r="A4" s="3" t="s">
        <v>46</v>
      </c>
      <c r="B4" s="8" t="n">
        <f aca="false">IFERROR(IF(COUNTIF('Статьи расходов'!I:I,"Ошибка")&gt;0,"",ROUND(SUMIF('Статьи расходов'!A:A,A4,'Статьи расходов'!G:G),2)),"Ошибка")</f>
        <v>0</v>
      </c>
    </row>
    <row r="5" customFormat="false" ht="15" hidden="false" customHeight="false" outlineLevel="0" collapsed="false">
      <c r="A5" s="3" t="s">
        <v>47</v>
      </c>
      <c r="B5" s="8" t="n">
        <f aca="false">IFERROR(IF(COUNTIF('Статьи расходов'!I:I,"Ошибка")&gt;0,"",ROUND(SUMIF('Статьи расходов'!A:A,A5,'Статьи расходов'!G:G),2)),"Ошибка")</f>
        <v>0</v>
      </c>
    </row>
    <row r="6" customFormat="false" ht="15" hidden="false" customHeight="false" outlineLevel="0" collapsed="false">
      <c r="A6" s="3" t="s">
        <v>48</v>
      </c>
      <c r="B6" s="8" t="n">
        <f aca="false">IFERROR(IF(COUNT(B2:B3)=2,ROUND(SUM(B2:B3),2),""),"")</f>
        <v>720.34</v>
      </c>
    </row>
    <row r="7" customFormat="false" ht="15" hidden="false" customHeight="false" outlineLevel="0" collapsed="false">
      <c r="A7" s="3" t="s">
        <v>49</v>
      </c>
      <c r="B7" s="8" t="n">
        <f aca="false">IFERROR('Исходные данные'!B6,"")</f>
        <v>0</v>
      </c>
    </row>
    <row r="8" customFormat="false" ht="15" hidden="false" customHeight="false" outlineLevel="0" collapsed="false">
      <c r="A8" s="3" t="s">
        <v>50</v>
      </c>
      <c r="B8" s="8" t="n">
        <f aca="false">IFERROR('Исходные данные'!B5,"")</f>
        <v>100</v>
      </c>
    </row>
    <row r="9" customFormat="false" ht="15" hidden="false" customHeight="false" outlineLevel="0" collapsed="false">
      <c r="A9" s="3" t="s">
        <v>51</v>
      </c>
      <c r="B9" s="8" t="str">
        <f aca="false">IFERROR(IF(AND('Исходные данные'!B10="Готово",COUNTIF('Статьи расходов'!I:I,"Ошибка")=0,COUNTIF('Статьи расходов'!I:I,"Готово")&gt;0,ISNUMBER(B6),B6&gt;=B7),"Готово","Ошибка"),"Ошибка")</f>
        <v>Готово</v>
      </c>
    </row>
    <row r="10" customFormat="false" ht="15" hidden="false" customHeight="false" outlineLevel="0" collapsed="false">
      <c r="A10" s="3" t="s">
        <v>52</v>
      </c>
      <c r="B10" s="9" t="n">
        <f aca="false">IFERROR(IF(B9="Готово",ROUND((ROUND(B6*100,0)-ROUND(B7*100,0))*1000000/(ROUND(B8*100,0)*12),0)/1000000,""),"")</f>
        <v>0.600283</v>
      </c>
    </row>
    <row r="11" customFormat="false" ht="26.85" hidden="false" customHeight="false" outlineLevel="0" collapsed="false">
      <c r="A11" s="3" t="s">
        <v>53</v>
      </c>
      <c r="B11" s="10" t="s">
        <v>54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0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25"/>
    <col collapsed="false" customWidth="true" hidden="false" outlineLevel="0" max="4" min="4" style="6" width="30"/>
    <col collapsed="false" customWidth="true" hidden="false" outlineLevel="0" max="5" min="5" style="0" width="20"/>
  </cols>
  <sheetData>
    <row r="1" s="2" customFormat="true" ht="26.85" hidden="false" customHeight="false" outlineLevel="0" collapsed="false">
      <c r="A1" s="1" t="s">
        <v>55</v>
      </c>
      <c r="B1" s="1" t="s">
        <v>56</v>
      </c>
      <c r="C1" s="1" t="s">
        <v>57</v>
      </c>
      <c r="D1" s="7" t="s">
        <v>58</v>
      </c>
      <c r="E1" s="1" t="s">
        <v>37</v>
      </c>
    </row>
    <row r="2" customFormat="false" ht="15" hidden="false" customHeight="false" outlineLevel="0" collapsed="false">
      <c r="A2" s="4" t="s">
        <v>59</v>
      </c>
      <c r="B2" s="4" t="s">
        <v>60</v>
      </c>
      <c r="C2" s="4" t="n">
        <v>100</v>
      </c>
      <c r="D2" s="8" t="n">
        <f aca="false">IFERROR(IF(AND(E2="Готово",'Сводная смета'!B9="Готово"),ROUND((ROUND('Сводная смета'!B6*100,0)-ROUND('Сводная смета'!B7*100,0))*ROUND(C2*100,0)/(ROUND('Исходные данные'!B5*100,0)*12),0)/100,""),"")</f>
        <v>60.03</v>
      </c>
      <c r="E2" s="5" t="str">
        <f aca="false">IFERROR(IF(COUNTA(A2:C2)=0,"",IF(AND(OR(A2="Квартира",A2="Нежилое помещение"),B2&lt;&gt;"",COUNTIFS(A:A,A2,B:B,B2)=1),IF(C2="",IF('Исходные данные'!B8=0,"Нет площади","Ошибка"),IF(AND(ISNUMBER(C2),C2&gt;0,ROUND(C2,2)=C2),"Готово","Ошибка")),"Ошибка")),"Ошибка")</f>
        <v>Готово</v>
      </c>
    </row>
    <row r="3" customFormat="false" ht="15" hidden="false" customHeight="false" outlineLevel="0" collapsed="false">
      <c r="A3" s="4"/>
      <c r="B3" s="4"/>
      <c r="C3" s="4"/>
      <c r="D3" s="8" t="str">
        <f aca="false">IFERROR(IF(AND(E3="Готово",'Сводная смета'!B9="Готово"),ROUND((ROUND('Сводная смета'!B6*100,0)-ROUND('Сводная смета'!B7*100,0))*ROUND(C3*100,0)/(ROUND('Исходные данные'!B5*100,0)*12),0)/100,""),"")</f>
        <v/>
      </c>
      <c r="E3" s="5" t="str">
        <f aca="false">IFERROR(IF(COUNTA(A3:C3)=0,"",IF(AND(OR(A3="Квартира",A3="Нежилое помещение"),B3&lt;&gt;"",COUNTIFS(A:A,A3,B:B,B3)=1),IF(C3="",IF('Исходные данные'!B8=0,"Нет площади","Ошибка"),IF(AND(ISNUMBER(C3),C3&gt;0,ROUND(C3,2)=C3),"Готово","Ошибка")),"Ошибка")),"Ошибка")</f>
        <v/>
      </c>
    </row>
    <row r="4" customFormat="false" ht="15" hidden="false" customHeight="false" outlineLevel="0" collapsed="false">
      <c r="A4" s="4"/>
      <c r="B4" s="4"/>
      <c r="C4" s="4"/>
      <c r="D4" s="8" t="str">
        <f aca="false">IFERROR(IF(AND(E4="Готово",'Сводная смета'!B9="Готово"),ROUND((ROUND('Сводная смета'!B6*100,0)-ROUND('Сводная смета'!B7*100,0))*ROUND(C4*100,0)/(ROUND('Исходные данные'!B5*100,0)*12),0)/100,""),"")</f>
        <v/>
      </c>
      <c r="E4" s="5" t="str">
        <f aca="false">IFERROR(IF(COUNTA(A4:C4)=0,"",IF(AND(OR(A4="Квартира",A4="Нежилое помещение"),B4&lt;&gt;"",COUNTIFS(A:A,A4,B:B,B4)=1),IF(C4="",IF('Исходные данные'!B8=0,"Нет площади","Ошибка"),IF(AND(ISNUMBER(C4),C4&gt;0,ROUND(C4,2)=C4),"Готово","Ошибка")),"Ошибка")),"Ошибка")</f>
        <v/>
      </c>
    </row>
    <row r="5" customFormat="false" ht="15" hidden="false" customHeight="false" outlineLevel="0" collapsed="false">
      <c r="A5" s="4"/>
      <c r="B5" s="4"/>
      <c r="C5" s="4"/>
      <c r="D5" s="8" t="str">
        <f aca="false">IFERROR(IF(AND(E5="Готово",'Сводная смета'!B9="Готово"),ROUND((ROUND('Сводная смета'!B6*100,0)-ROUND('Сводная смета'!B7*100,0))*ROUND(C5*100,0)/(ROUND('Исходные данные'!B5*100,0)*12),0)/100,""),"")</f>
        <v/>
      </c>
      <c r="E5" s="5" t="str">
        <f aca="false">IFERROR(IF(COUNTA(A5:C5)=0,"",IF(AND(OR(A5="Квартира",A5="Нежилое помещение"),B5&lt;&gt;"",COUNTIFS(A:A,A5,B:B,B5)=1),IF(C5="",IF('Исходные данные'!B8=0,"Нет площади","Ошибка"),IF(AND(ISNUMBER(C5),C5&gt;0,ROUND(C5,2)=C5),"Готово","Ошибка")),"Ошибка")),"Ошибка")</f>
        <v/>
      </c>
    </row>
    <row r="6" customFormat="false" ht="15" hidden="false" customHeight="false" outlineLevel="0" collapsed="false">
      <c r="A6" s="4"/>
      <c r="B6" s="4"/>
      <c r="C6" s="4"/>
      <c r="D6" s="8" t="str">
        <f aca="false">IFERROR(IF(AND(E6="Готово",'Сводная смета'!B9="Готово"),ROUND((ROUND('Сводная смета'!B6*100,0)-ROUND('Сводная смета'!B7*100,0))*ROUND(C6*100,0)/(ROUND('Исходные данные'!B5*100,0)*12),0)/100,""),"")</f>
        <v/>
      </c>
      <c r="E6" s="5" t="str">
        <f aca="false">IFERROR(IF(COUNTA(A6:C6)=0,"",IF(AND(OR(A6="Квартира",A6="Нежилое помещение"),B6&lt;&gt;"",COUNTIFS(A:A,A6,B:B,B6)=1),IF(C6="",IF('Исходные данные'!B8=0,"Нет площади","Ошибка"),IF(AND(ISNUMBER(C6),C6&gt;0,ROUND(C6,2)=C6),"Готово","Ошибка")),"Ошибка")),"Ошибка")</f>
        <v/>
      </c>
    </row>
    <row r="7" customFormat="false" ht="15" hidden="false" customHeight="false" outlineLevel="0" collapsed="false">
      <c r="A7" s="4"/>
      <c r="B7" s="4"/>
      <c r="C7" s="4"/>
      <c r="D7" s="8" t="str">
        <f aca="false">IFERROR(IF(AND(E7="Готово",'Сводная смета'!B9="Готово"),ROUND((ROUND('Сводная смета'!B6*100,0)-ROUND('Сводная смета'!B7*100,0))*ROUND(C7*100,0)/(ROUND('Исходные данные'!B5*100,0)*12),0)/100,""),"")</f>
        <v/>
      </c>
      <c r="E7" s="5" t="str">
        <f aca="false">IFERROR(IF(COUNTA(A7:C7)=0,"",IF(AND(OR(A7="Квартира",A7="Нежилое помещение"),B7&lt;&gt;"",COUNTIFS(A:A,A7,B:B,B7)=1),IF(C7="",IF('Исходные данные'!B8=0,"Нет площади","Ошибка"),IF(AND(ISNUMBER(C7),C7&gt;0,ROUND(C7,2)=C7),"Готово","Ошибка")),"Ошибка")),"Ошибка")</f>
        <v/>
      </c>
    </row>
    <row r="8" customFormat="false" ht="15" hidden="false" customHeight="false" outlineLevel="0" collapsed="false">
      <c r="A8" s="4"/>
      <c r="B8" s="4"/>
      <c r="C8" s="4"/>
      <c r="D8" s="8" t="str">
        <f aca="false">IFERROR(IF(AND(E8="Готово",'Сводная смета'!B9="Готово"),ROUND((ROUND('Сводная смета'!B6*100,0)-ROUND('Сводная смета'!B7*100,0))*ROUND(C8*100,0)/(ROUND('Исходные данные'!B5*100,0)*12),0)/100,""),"")</f>
        <v/>
      </c>
      <c r="E8" s="5" t="str">
        <f aca="false">IFERROR(IF(COUNTA(A8:C8)=0,"",IF(AND(OR(A8="Квартира",A8="Нежилое помещение"),B8&lt;&gt;"",COUNTIFS(A:A,A8,B:B,B8)=1),IF(C8="",IF('Исходные данные'!B8=0,"Нет площади","Ошибка"),IF(AND(ISNUMBER(C8),C8&gt;0,ROUND(C8,2)=C8),"Готово","Ошибка")),"Ошибка")),"Ошибка")</f>
        <v/>
      </c>
    </row>
    <row r="9" customFormat="false" ht="15" hidden="false" customHeight="false" outlineLevel="0" collapsed="false">
      <c r="A9" s="4"/>
      <c r="B9" s="4"/>
      <c r="C9" s="4"/>
      <c r="D9" s="8" t="str">
        <f aca="false">IFERROR(IF(AND(E9="Готово",'Сводная смета'!B9="Готово"),ROUND((ROUND('Сводная смета'!B6*100,0)-ROUND('Сводная смета'!B7*100,0))*ROUND(C9*100,0)/(ROUND('Исходные данные'!B5*100,0)*12),0)/100,""),"")</f>
        <v/>
      </c>
      <c r="E9" s="5" t="str">
        <f aca="false">IFERROR(IF(COUNTA(A9:C9)=0,"",IF(AND(OR(A9="Квартира",A9="Нежилое помещение"),B9&lt;&gt;"",COUNTIFS(A:A,A9,B:B,B9)=1),IF(C9="",IF('Исходные данные'!B8=0,"Нет площади","Ошибка"),IF(AND(ISNUMBER(C9),C9&gt;0,ROUND(C9,2)=C9),"Готово","Ошибка")),"Ошибка")),"Ошибка")</f>
        <v/>
      </c>
    </row>
    <row r="10" customFormat="false" ht="15" hidden="false" customHeight="false" outlineLevel="0" collapsed="false">
      <c r="A10" s="4"/>
      <c r="B10" s="4"/>
      <c r="C10" s="4"/>
      <c r="D10" s="8" t="str">
        <f aca="false">IFERROR(IF(AND(E10="Готово",'Сводная смета'!B9="Готово"),ROUND((ROUND('Сводная смета'!B6*100,0)-ROUND('Сводная смета'!B7*100,0))*ROUND(C10*100,0)/(ROUND('Исходные данные'!B5*100,0)*12),0)/100,""),"")</f>
        <v/>
      </c>
      <c r="E10" s="5" t="str">
        <f aca="false">IFERROR(IF(COUNTA(A10:C10)=0,"",IF(AND(OR(A10="Квартира",A10="Нежилое помещение"),B10&lt;&gt;"",COUNTIFS(A:A,A10,B:B,B10)=1),IF(C10="",IF('Исходные данные'!B8=0,"Нет площади","Ошибка"),IF(AND(ISNUMBER(C10),C10&gt;0,ROUND(C10,2)=C10),"Готово","Ошибка")),"Ошибка")),"Ошибка")</f>
        <v/>
      </c>
    </row>
    <row r="11" customFormat="false" ht="15" hidden="false" customHeight="false" outlineLevel="0" collapsed="false">
      <c r="A11" s="4"/>
      <c r="B11" s="4"/>
      <c r="C11" s="4"/>
      <c r="D11" s="8" t="str">
        <f aca="false">IFERROR(IF(AND(E11="Готово",'Сводная смета'!B9="Готово"),ROUND((ROUND('Сводная смета'!B6*100,0)-ROUND('Сводная смета'!B7*100,0))*ROUND(C11*100,0)/(ROUND('Исходные данные'!B5*100,0)*12),0)/100,""),"")</f>
        <v/>
      </c>
      <c r="E11" s="5" t="str">
        <f aca="false">IFERROR(IF(COUNTA(A11:C11)=0,"",IF(AND(OR(A11="Квартира",A11="Нежилое помещение"),B11&lt;&gt;"",COUNTIFS(A:A,A11,B:B,B11)=1),IF(C11="",IF('Исходные данные'!B8=0,"Нет площади","Ошибка"),IF(AND(ISNUMBER(C11),C11&gt;0,ROUND(C11,2)=C11),"Готово","Ошибка")),"Ошибка")),"Ошибка")</f>
        <v/>
      </c>
    </row>
    <row r="12" customFormat="false" ht="15" hidden="false" customHeight="false" outlineLevel="0" collapsed="false">
      <c r="A12" s="4"/>
      <c r="B12" s="4"/>
      <c r="C12" s="4"/>
      <c r="D12" s="8" t="str">
        <f aca="false">IFERROR(IF(AND(E12="Готово",'Сводная смета'!B9="Готово"),ROUND((ROUND('Сводная смета'!B6*100,0)-ROUND('Сводная смета'!B7*100,0))*ROUND(C12*100,0)/(ROUND('Исходные данные'!B5*100,0)*12),0)/100,""),"")</f>
        <v/>
      </c>
      <c r="E12" s="5" t="str">
        <f aca="false">IFERROR(IF(COUNTA(A12:C12)=0,"",IF(AND(OR(A12="Квартира",A12="Нежилое помещение"),B12&lt;&gt;"",COUNTIFS(A:A,A12,B:B,B12)=1),IF(C12="",IF('Исходные данные'!B8=0,"Нет площади","Ошибка"),IF(AND(ISNUMBER(C12),C12&gt;0,ROUND(C12,2)=C12),"Готово","Ошибка")),"Ошибка")),"Ошибка")</f>
        <v/>
      </c>
    </row>
    <row r="13" customFormat="false" ht="15" hidden="false" customHeight="false" outlineLevel="0" collapsed="false">
      <c r="A13" s="4"/>
      <c r="B13" s="4"/>
      <c r="C13" s="4"/>
      <c r="D13" s="8" t="str">
        <f aca="false">IFERROR(IF(AND(E13="Готово",'Сводная смета'!B9="Готово"),ROUND((ROUND('Сводная смета'!B6*100,0)-ROUND('Сводная смета'!B7*100,0))*ROUND(C13*100,0)/(ROUND('Исходные данные'!B5*100,0)*12),0)/100,""),"")</f>
        <v/>
      </c>
      <c r="E13" s="5" t="str">
        <f aca="false">IFERROR(IF(COUNTA(A13:C13)=0,"",IF(AND(OR(A13="Квартира",A13="Нежилое помещение"),B13&lt;&gt;"",COUNTIFS(A:A,A13,B:B,B13)=1),IF(C13="",IF('Исходные данные'!B8=0,"Нет площади","Ошибка"),IF(AND(ISNUMBER(C13),C13&gt;0,ROUND(C13,2)=C13),"Готово","Ошибка")),"Ошибка")),"Ошибка")</f>
        <v/>
      </c>
    </row>
    <row r="14" customFormat="false" ht="15" hidden="false" customHeight="false" outlineLevel="0" collapsed="false">
      <c r="A14" s="4"/>
      <c r="B14" s="4"/>
      <c r="C14" s="4"/>
      <c r="D14" s="8" t="str">
        <f aca="false">IFERROR(IF(AND(E14="Готово",'Сводная смета'!B9="Готово"),ROUND((ROUND('Сводная смета'!B6*100,0)-ROUND('Сводная смета'!B7*100,0))*ROUND(C14*100,0)/(ROUND('Исходные данные'!B5*100,0)*12),0)/100,""),"")</f>
        <v/>
      </c>
      <c r="E14" s="5" t="str">
        <f aca="false">IFERROR(IF(COUNTA(A14:C14)=0,"",IF(AND(OR(A14="Квартира",A14="Нежилое помещение"),B14&lt;&gt;"",COUNTIFS(A:A,A14,B:B,B14)=1),IF(C14="",IF('Исходные данные'!B8=0,"Нет площади","Ошибка"),IF(AND(ISNUMBER(C14),C14&gt;0,ROUND(C14,2)=C14),"Готово","Ошибка")),"Ошибка")),"Ошибка")</f>
        <v/>
      </c>
    </row>
    <row r="15" customFormat="false" ht="15" hidden="false" customHeight="false" outlineLevel="0" collapsed="false">
      <c r="A15" s="4"/>
      <c r="B15" s="4"/>
      <c r="C15" s="4"/>
      <c r="D15" s="8" t="str">
        <f aca="false">IFERROR(IF(AND(E15="Готово",'Сводная смета'!B9="Готово"),ROUND((ROUND('Сводная смета'!B6*100,0)-ROUND('Сводная смета'!B7*100,0))*ROUND(C15*100,0)/(ROUND('Исходные данные'!B5*100,0)*12),0)/100,""),"")</f>
        <v/>
      </c>
      <c r="E15" s="5" t="str">
        <f aca="false">IFERROR(IF(COUNTA(A15:C15)=0,"",IF(AND(OR(A15="Квартира",A15="Нежилое помещение"),B15&lt;&gt;"",COUNTIFS(A:A,A15,B:B,B15)=1),IF(C15="",IF('Исходные данные'!B8=0,"Нет площади","Ошибка"),IF(AND(ISNUMBER(C15),C15&gt;0,ROUND(C15,2)=C15),"Готово","Ошибка")),"Ошибка")),"Ошибка")</f>
        <v/>
      </c>
    </row>
    <row r="16" customFormat="false" ht="15" hidden="false" customHeight="false" outlineLevel="0" collapsed="false">
      <c r="A16" s="4"/>
      <c r="B16" s="4"/>
      <c r="C16" s="4"/>
      <c r="D16" s="8" t="str">
        <f aca="false">IFERROR(IF(AND(E16="Готово",'Сводная смета'!B9="Готово"),ROUND((ROUND('Сводная смета'!B6*100,0)-ROUND('Сводная смета'!B7*100,0))*ROUND(C16*100,0)/(ROUND('Исходные данные'!B5*100,0)*12),0)/100,""),"")</f>
        <v/>
      </c>
      <c r="E16" s="5" t="str">
        <f aca="false">IFERROR(IF(COUNTA(A16:C16)=0,"",IF(AND(OR(A16="Квартира",A16="Нежилое помещение"),B16&lt;&gt;"",COUNTIFS(A:A,A16,B:B,B16)=1),IF(C16="",IF('Исходные данные'!B8=0,"Нет площади","Ошибка"),IF(AND(ISNUMBER(C16),C16&gt;0,ROUND(C16,2)=C16),"Готово","Ошибка")),"Ошибка")),"Ошибка")</f>
        <v/>
      </c>
    </row>
    <row r="17" customFormat="false" ht="15" hidden="false" customHeight="false" outlineLevel="0" collapsed="false">
      <c r="A17" s="4"/>
      <c r="B17" s="4"/>
      <c r="C17" s="4"/>
      <c r="D17" s="8" t="str">
        <f aca="false">IFERROR(IF(AND(E17="Готово",'Сводная смета'!B9="Готово"),ROUND((ROUND('Сводная смета'!B6*100,0)-ROUND('Сводная смета'!B7*100,0))*ROUND(C17*100,0)/(ROUND('Исходные данные'!B5*100,0)*12),0)/100,""),"")</f>
        <v/>
      </c>
      <c r="E17" s="5" t="str">
        <f aca="false">IFERROR(IF(COUNTA(A17:C17)=0,"",IF(AND(OR(A17="Квартира",A17="Нежилое помещение"),B17&lt;&gt;"",COUNTIFS(A:A,A17,B:B,B17)=1),IF(C17="",IF('Исходные данные'!B8=0,"Нет площади","Ошибка"),IF(AND(ISNUMBER(C17),C17&gt;0,ROUND(C17,2)=C17),"Готово","Ошибка")),"Ошибка")),"Ошибка")</f>
        <v/>
      </c>
    </row>
    <row r="18" customFormat="false" ht="15" hidden="false" customHeight="false" outlineLevel="0" collapsed="false">
      <c r="A18" s="4"/>
      <c r="B18" s="4"/>
      <c r="C18" s="4"/>
      <c r="D18" s="8" t="str">
        <f aca="false">IFERROR(IF(AND(E18="Готово",'Сводная смета'!B9="Готово"),ROUND((ROUND('Сводная смета'!B6*100,0)-ROUND('Сводная смета'!B7*100,0))*ROUND(C18*100,0)/(ROUND('Исходные данные'!B5*100,0)*12),0)/100,""),"")</f>
        <v/>
      </c>
      <c r="E18" s="5" t="str">
        <f aca="false">IFERROR(IF(COUNTA(A18:C18)=0,"",IF(AND(OR(A18="Квартира",A18="Нежилое помещение"),B18&lt;&gt;"",COUNTIFS(A:A,A18,B:B,B18)=1),IF(C18="",IF('Исходные данные'!B8=0,"Нет площади","Ошибка"),IF(AND(ISNUMBER(C18),C18&gt;0,ROUND(C18,2)=C18),"Готово","Ошибка")),"Ошибка")),"Ошибка")</f>
        <v/>
      </c>
    </row>
    <row r="19" customFormat="false" ht="15" hidden="false" customHeight="false" outlineLevel="0" collapsed="false">
      <c r="A19" s="4"/>
      <c r="B19" s="4"/>
      <c r="C19" s="4"/>
      <c r="D19" s="8" t="str">
        <f aca="false">IFERROR(IF(AND(E19="Готово",'Сводная смета'!B9="Готово"),ROUND((ROUND('Сводная смета'!B6*100,0)-ROUND('Сводная смета'!B7*100,0))*ROUND(C19*100,0)/(ROUND('Исходные данные'!B5*100,0)*12),0)/100,""),"")</f>
        <v/>
      </c>
      <c r="E19" s="5" t="str">
        <f aca="false">IFERROR(IF(COUNTA(A19:C19)=0,"",IF(AND(OR(A19="Квартира",A19="Нежилое помещение"),B19&lt;&gt;"",COUNTIFS(A:A,A19,B:B,B19)=1),IF(C19="",IF('Исходные данные'!B8=0,"Нет площади","Ошибка"),IF(AND(ISNUMBER(C19),C19&gt;0,ROUND(C19,2)=C19),"Готово","Ошибка")),"Ошибка")),"Ошибка")</f>
        <v/>
      </c>
    </row>
    <row r="20" customFormat="false" ht="15" hidden="false" customHeight="false" outlineLevel="0" collapsed="false">
      <c r="A20" s="4"/>
      <c r="B20" s="4"/>
      <c r="C20" s="4"/>
      <c r="D20" s="8" t="str">
        <f aca="false">IFERROR(IF(AND(E20="Готово",'Сводная смета'!B9="Готово"),ROUND((ROUND('Сводная смета'!B6*100,0)-ROUND('Сводная смета'!B7*100,0))*ROUND(C20*100,0)/(ROUND('Исходные данные'!B5*100,0)*12),0)/100,""),"")</f>
        <v/>
      </c>
      <c r="E20" s="5" t="str">
        <f aca="false">IFERROR(IF(COUNTA(A20:C20)=0,"",IF(AND(OR(A20="Квартира",A20="Нежилое помещение"),B20&lt;&gt;"",COUNTIFS(A:A,A20,B:B,B20)=1),IF(C20="",IF('Исходные данные'!B8=0,"Нет площади","Ошибка"),IF(AND(ISNUMBER(C20),C20&gt;0,ROUND(C20,2)=C20),"Готово","Ошибка")),"Ошибка")),"Ошибка")</f>
        <v/>
      </c>
    </row>
    <row r="21" customFormat="false" ht="15" hidden="false" customHeight="false" outlineLevel="0" collapsed="false">
      <c r="A21" s="4"/>
      <c r="B21" s="4"/>
      <c r="C21" s="4"/>
      <c r="D21" s="8" t="str">
        <f aca="false">IFERROR(IF(AND(E21="Готово",'Сводная смета'!B9="Готово"),ROUND((ROUND('Сводная смета'!B6*100,0)-ROUND('Сводная смета'!B7*100,0))*ROUND(C21*100,0)/(ROUND('Исходные данные'!B5*100,0)*12),0)/100,""),"")</f>
        <v/>
      </c>
      <c r="E21" s="5" t="str">
        <f aca="false">IFERROR(IF(COUNTA(A21:C21)=0,"",IF(AND(OR(A21="Квартира",A21="Нежилое помещение"),B21&lt;&gt;"",COUNTIFS(A:A,A21,B:B,B21)=1),IF(C21="",IF('Исходные данные'!B8=0,"Нет площади","Ошибка"),IF(AND(ISNUMBER(C21),C21&gt;0,ROUND(C21,2)=C21),"Готово","Ошибка")),"Ошибка")),"Ошибка")</f>
        <v/>
      </c>
    </row>
    <row r="22" customFormat="false" ht="15" hidden="false" customHeight="false" outlineLevel="0" collapsed="false">
      <c r="A22" s="4"/>
      <c r="B22" s="4"/>
      <c r="C22" s="4"/>
      <c r="D22" s="8" t="str">
        <f aca="false">IFERROR(IF(AND(E22="Готово",'Сводная смета'!B9="Готово"),ROUND((ROUND('Сводная смета'!B6*100,0)-ROUND('Сводная смета'!B7*100,0))*ROUND(C22*100,0)/(ROUND('Исходные данные'!B5*100,0)*12),0)/100,""),"")</f>
        <v/>
      </c>
      <c r="E22" s="5" t="str">
        <f aca="false">IFERROR(IF(COUNTA(A22:C22)=0,"",IF(AND(OR(A22="Квартира",A22="Нежилое помещение"),B22&lt;&gt;"",COUNTIFS(A:A,A22,B:B,B22)=1),IF(C22="",IF('Исходные данные'!B8=0,"Нет площади","Ошибка"),IF(AND(ISNUMBER(C22),C22&gt;0,ROUND(C22,2)=C22),"Готово","Ошибка")),"Ошибка")),"Ошибка")</f>
        <v/>
      </c>
    </row>
    <row r="23" customFormat="false" ht="15" hidden="false" customHeight="false" outlineLevel="0" collapsed="false">
      <c r="A23" s="4"/>
      <c r="B23" s="4"/>
      <c r="C23" s="4"/>
      <c r="D23" s="8" t="str">
        <f aca="false">IFERROR(IF(AND(E23="Готово",'Сводная смета'!B9="Готово"),ROUND((ROUND('Сводная смета'!B6*100,0)-ROUND('Сводная смета'!B7*100,0))*ROUND(C23*100,0)/(ROUND('Исходные данные'!B5*100,0)*12),0)/100,""),"")</f>
        <v/>
      </c>
      <c r="E23" s="5" t="str">
        <f aca="false">IFERROR(IF(COUNTA(A23:C23)=0,"",IF(AND(OR(A23="Квартира",A23="Нежилое помещение"),B23&lt;&gt;"",COUNTIFS(A:A,A23,B:B,B23)=1),IF(C23="",IF('Исходные данные'!B8=0,"Нет площади","Ошибка"),IF(AND(ISNUMBER(C23),C23&gt;0,ROUND(C23,2)=C23),"Готово","Ошибка")),"Ошибка")),"Ошибка")</f>
        <v/>
      </c>
    </row>
    <row r="24" customFormat="false" ht="15" hidden="false" customHeight="false" outlineLevel="0" collapsed="false">
      <c r="A24" s="4"/>
      <c r="B24" s="4"/>
      <c r="C24" s="4"/>
      <c r="D24" s="8" t="str">
        <f aca="false">IFERROR(IF(AND(E24="Готово",'Сводная смета'!B9="Готово"),ROUND((ROUND('Сводная смета'!B6*100,0)-ROUND('Сводная смета'!B7*100,0))*ROUND(C24*100,0)/(ROUND('Исходные данные'!B5*100,0)*12),0)/100,""),"")</f>
        <v/>
      </c>
      <c r="E24" s="5" t="str">
        <f aca="false">IFERROR(IF(COUNTA(A24:C24)=0,"",IF(AND(OR(A24="Квартира",A24="Нежилое помещение"),B24&lt;&gt;"",COUNTIFS(A:A,A24,B:B,B24)=1),IF(C24="",IF('Исходные данные'!B8=0,"Нет площади","Ошибка"),IF(AND(ISNUMBER(C24),C24&gt;0,ROUND(C24,2)=C24),"Готово","Ошибка")),"Ошибка")),"Ошибка")</f>
        <v/>
      </c>
    </row>
    <row r="25" customFormat="false" ht="15" hidden="false" customHeight="false" outlineLevel="0" collapsed="false">
      <c r="A25" s="4"/>
      <c r="B25" s="4"/>
      <c r="C25" s="4"/>
      <c r="D25" s="8" t="str">
        <f aca="false">IFERROR(IF(AND(E25="Готово",'Сводная смета'!B9="Готово"),ROUND((ROUND('Сводная смета'!B6*100,0)-ROUND('Сводная смета'!B7*100,0))*ROUND(C25*100,0)/(ROUND('Исходные данные'!B5*100,0)*12),0)/100,""),"")</f>
        <v/>
      </c>
      <c r="E25" s="5" t="str">
        <f aca="false">IFERROR(IF(COUNTA(A25:C25)=0,"",IF(AND(OR(A25="Квартира",A25="Нежилое помещение"),B25&lt;&gt;"",COUNTIFS(A:A,A25,B:B,B25)=1),IF(C25="",IF('Исходные данные'!B8=0,"Нет площади","Ошибка"),IF(AND(ISNUMBER(C25),C25&gt;0,ROUND(C25,2)=C25),"Готово","Ошибка")),"Ошибка")),"Ошибка")</f>
        <v/>
      </c>
    </row>
    <row r="26" customFormat="false" ht="15" hidden="false" customHeight="false" outlineLevel="0" collapsed="false">
      <c r="A26" s="4"/>
      <c r="B26" s="4"/>
      <c r="C26" s="4"/>
      <c r="D26" s="8" t="str">
        <f aca="false">IFERROR(IF(AND(E26="Готово",'Сводная смета'!B9="Готово"),ROUND((ROUND('Сводная смета'!B6*100,0)-ROUND('Сводная смета'!B7*100,0))*ROUND(C26*100,0)/(ROUND('Исходные данные'!B5*100,0)*12),0)/100,""),"")</f>
        <v/>
      </c>
      <c r="E26" s="5" t="str">
        <f aca="false">IFERROR(IF(COUNTA(A26:C26)=0,"",IF(AND(OR(A26="Квартира",A26="Нежилое помещение"),B26&lt;&gt;"",COUNTIFS(A:A,A26,B:B,B26)=1),IF(C26="",IF('Исходные данные'!B8=0,"Нет площади","Ошибка"),IF(AND(ISNUMBER(C26),C26&gt;0,ROUND(C26,2)=C26),"Готово","Ошибка")),"Ошибка")),"Ошибка")</f>
        <v/>
      </c>
    </row>
    <row r="27" customFormat="false" ht="15" hidden="false" customHeight="false" outlineLevel="0" collapsed="false">
      <c r="A27" s="4"/>
      <c r="B27" s="4"/>
      <c r="C27" s="4"/>
      <c r="D27" s="8" t="str">
        <f aca="false">IFERROR(IF(AND(E27="Готово",'Сводная смета'!B9="Готово"),ROUND((ROUND('Сводная смета'!B6*100,0)-ROUND('Сводная смета'!B7*100,0))*ROUND(C27*100,0)/(ROUND('Исходные данные'!B5*100,0)*12),0)/100,""),"")</f>
        <v/>
      </c>
      <c r="E27" s="5" t="str">
        <f aca="false">IFERROR(IF(COUNTA(A27:C27)=0,"",IF(AND(OR(A27="Квартира",A27="Нежилое помещение"),B27&lt;&gt;"",COUNTIFS(A:A,A27,B:B,B27)=1),IF(C27="",IF('Исходные данные'!B8=0,"Нет площади","Ошибка"),IF(AND(ISNUMBER(C27),C27&gt;0,ROUND(C27,2)=C27),"Готово","Ошибка")),"Ошибка")),"Ошибка")</f>
        <v/>
      </c>
    </row>
    <row r="28" customFormat="false" ht="15" hidden="false" customHeight="false" outlineLevel="0" collapsed="false">
      <c r="A28" s="4"/>
      <c r="B28" s="4"/>
      <c r="C28" s="4"/>
      <c r="D28" s="8" t="str">
        <f aca="false">IFERROR(IF(AND(E28="Готово",'Сводная смета'!B9="Готово"),ROUND((ROUND('Сводная смета'!B6*100,0)-ROUND('Сводная смета'!B7*100,0))*ROUND(C28*100,0)/(ROUND('Исходные данные'!B5*100,0)*12),0)/100,""),"")</f>
        <v/>
      </c>
      <c r="E28" s="5" t="str">
        <f aca="false">IFERROR(IF(COUNTA(A28:C28)=0,"",IF(AND(OR(A28="Квартира",A28="Нежилое помещение"),B28&lt;&gt;"",COUNTIFS(A:A,A28,B:B,B28)=1),IF(C28="",IF('Исходные данные'!B8=0,"Нет площади","Ошибка"),IF(AND(ISNUMBER(C28),C28&gt;0,ROUND(C28,2)=C28),"Готово","Ошибка")),"Ошибка")),"Ошибка")</f>
        <v/>
      </c>
    </row>
    <row r="29" customFormat="false" ht="15" hidden="false" customHeight="false" outlineLevel="0" collapsed="false">
      <c r="A29" s="4"/>
      <c r="B29" s="4"/>
      <c r="C29" s="4"/>
      <c r="D29" s="8" t="str">
        <f aca="false">IFERROR(IF(AND(E29="Готово",'Сводная смета'!B9="Готово"),ROUND((ROUND('Сводная смета'!B6*100,0)-ROUND('Сводная смета'!B7*100,0))*ROUND(C29*100,0)/(ROUND('Исходные данные'!B5*100,0)*12),0)/100,""),"")</f>
        <v/>
      </c>
      <c r="E29" s="5" t="str">
        <f aca="false">IFERROR(IF(COUNTA(A29:C29)=0,"",IF(AND(OR(A29="Квартира",A29="Нежилое помещение"),B29&lt;&gt;"",COUNTIFS(A:A,A29,B:B,B29)=1),IF(C29="",IF('Исходные данные'!B8=0,"Нет площади","Ошибка"),IF(AND(ISNUMBER(C29),C29&gt;0,ROUND(C29,2)=C29),"Готово","Ошибка")),"Ошибка")),"Ошибка")</f>
        <v/>
      </c>
    </row>
    <row r="30" customFormat="false" ht="15" hidden="false" customHeight="false" outlineLevel="0" collapsed="false">
      <c r="A30" s="4"/>
      <c r="B30" s="4"/>
      <c r="C30" s="4"/>
      <c r="D30" s="8" t="str">
        <f aca="false">IFERROR(IF(AND(E30="Готово",'Сводная смета'!B9="Готово"),ROUND((ROUND('Сводная смета'!B6*100,0)-ROUND('Сводная смета'!B7*100,0))*ROUND(C30*100,0)/(ROUND('Исходные данные'!B5*100,0)*12),0)/100,""),"")</f>
        <v/>
      </c>
      <c r="E30" s="5" t="str">
        <f aca="false">IFERROR(IF(COUNTA(A30:C30)=0,"",IF(AND(OR(A30="Квартира",A30="Нежилое помещение"),B30&lt;&gt;"",COUNTIFS(A:A,A30,B:B,B30)=1),IF(C30="",IF('Исходные данные'!B8=0,"Нет площади","Ошибка"),IF(AND(ISNUMBER(C30),C30&gt;0,ROUND(C30,2)=C30),"Готово","Ошибка")),"Ошибка")),"Ошибка")</f>
        <v/>
      </c>
    </row>
    <row r="31" customFormat="false" ht="15" hidden="false" customHeight="false" outlineLevel="0" collapsed="false">
      <c r="A31" s="4"/>
      <c r="B31" s="4"/>
      <c r="C31" s="4"/>
      <c r="D31" s="8" t="str">
        <f aca="false">IFERROR(IF(AND(E31="Готово",'Сводная смета'!B9="Готово"),ROUND((ROUND('Сводная смета'!B6*100,0)-ROUND('Сводная смета'!B7*100,0))*ROUND(C31*100,0)/(ROUND('Исходные данные'!B5*100,0)*12),0)/100,""),"")</f>
        <v/>
      </c>
      <c r="E31" s="5" t="str">
        <f aca="false">IFERROR(IF(COUNTA(A31:C31)=0,"",IF(AND(OR(A31="Квартира",A31="Нежилое помещение"),B31&lt;&gt;"",COUNTIFS(A:A,A31,B:B,B31)=1),IF(C31="",IF('Исходные данные'!B8=0,"Нет площади","Ошибка"),IF(AND(ISNUMBER(C31),C31&gt;0,ROUND(C31,2)=C31),"Готово","Ошибка")),"Ошибка")),"Ошибка")</f>
        <v/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0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5"/>
  </cols>
  <sheetData>
    <row r="1" s="2" customFormat="true" ht="15" hidden="false" customHeight="false" outlineLevel="0" collapsed="false">
      <c r="A1" s="1" t="s">
        <v>61</v>
      </c>
    </row>
    <row r="2" customFormat="false" ht="15" hidden="false" customHeight="false" outlineLevel="0" collapsed="false">
      <c r="A2" s="3" t="s">
        <v>62</v>
      </c>
    </row>
    <row r="3" customFormat="false" ht="52.2" hidden="false" customHeight="false" outlineLevel="0" collapsed="false">
      <c r="A3" s="3" t="s">
        <v>63</v>
      </c>
    </row>
    <row r="4" customFormat="false" ht="15" hidden="false" customHeight="false" outlineLevel="0" collapsed="false">
      <c r="A4" s="3" t="s">
        <v>64</v>
      </c>
    </row>
    <row r="5" customFormat="false" ht="15" hidden="false" customHeight="false" outlineLevel="0" collapsed="false">
      <c r="A5" s="3" t="s">
        <v>65</v>
      </c>
    </row>
    <row r="6" customFormat="false" ht="39.55" hidden="false" customHeight="false" outlineLevel="0" collapsed="false">
      <c r="A6" s="3" t="s">
        <v>66</v>
      </c>
    </row>
    <row r="7" customFormat="false" ht="26.85" hidden="false" customHeight="false" outlineLevel="0" collapsed="false">
      <c r="A7" s="3" t="s">
        <v>67</v>
      </c>
    </row>
    <row r="8" customFormat="false" ht="26.85" hidden="false" customHeight="false" outlineLevel="0" collapsed="false">
      <c r="A8" s="3" t="s">
        <v>68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0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2026-10-16T10:07:17Z</dcterms:created>
  <dc:creator>ҮйКөмек</dc:creator>
  <dc:description/>
  <dc:language>en-US</dc:language>
  <cp:lastModifiedBy>Unknown</cp:lastModifiedBy>
  <dcterms:modified xsi:type="dcterms:W3CDTF">2026-10-16T10:07:17Z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